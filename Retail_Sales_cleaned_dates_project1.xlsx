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mc:AlternateContent xmlns:mc="http://schemas.openxmlformats.org/markup-compatibility/2006">
    <mc:Choice Requires="x15">
      <x15ac:absPath xmlns:x15ac="http://schemas.microsoft.com/office/spreadsheetml/2010/11/ac" url="https://d.docs.live.net/825490c1f8bd365b/المستندات/"/>
    </mc:Choice>
  </mc:AlternateContent>
  <xr:revisionPtr revIDLastSave="10" documentId="11_C2044A6CAD9B0E71CF7E50D090D7395EE210127C" xr6:coauthVersionLast="47" xr6:coauthVersionMax="47" xr10:uidLastSave="{A27FBEBD-5E8B-4CFA-86AA-E68291A188E7}"/>
  <bookViews>
    <workbookView xWindow="0" yWindow="0" windowWidth="20400" windowHeight="7620" firstSheet="8" activeTab="8" xr2:uid="{00000000-000D-0000-FFFF-FFFF00000000}"/>
  </bookViews>
  <sheets>
    <sheet name="Main" sheetId="1" r:id="rId1"/>
    <sheet name="sales by product" sheetId="2" r:id="rId2"/>
    <sheet name="sales by city" sheetId="4" r:id="rId3"/>
    <sheet name="sales by payment method" sheetId="5" r:id="rId4"/>
    <sheet name="sales by category" sheetId="3" r:id="rId5"/>
    <sheet name="sales by salesperson" sheetId="6" r:id="rId6"/>
    <sheet name="monthly sales" sheetId="7" r:id="rId7"/>
    <sheet name="quantity by product" sheetId="8" r:id="rId8"/>
    <sheet name="Dashboard" sheetId="10" r:id="rId9"/>
  </sheets>
  <definedNames>
    <definedName name="_xlnm._FilterDatabase" localSheetId="0" hidden="1">Main!$A$1:$L$370</definedName>
    <definedName name="Slicer_Category">#N/A</definedName>
    <definedName name="Slicer_City">#N/A</definedName>
    <definedName name="Slicer_Payment_Method">#N/A</definedName>
    <definedName name="Slicer_Salesperson">#N/A</definedName>
  </definedNames>
  <calcPr calcId="191028"/>
  <pivotCaches>
    <pivotCache cacheId="10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1" i="1" l="1"/>
  <c r="G371" i="1" l="1"/>
  <c r="L2" i="1"/>
  <c r="M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2"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N370" i="1" l="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372" i="1" l="1"/>
  <c r="N371" i="1"/>
</calcChain>
</file>

<file path=xl/sharedStrings.xml><?xml version="1.0" encoding="utf-8"?>
<sst xmlns="http://schemas.openxmlformats.org/spreadsheetml/2006/main" count="2283" uniqueCount="54">
  <si>
    <t>Order ID</t>
  </si>
  <si>
    <t>Order Date</t>
  </si>
  <si>
    <t>Customer Name</t>
  </si>
  <si>
    <t>City</t>
  </si>
  <si>
    <t>Product</t>
  </si>
  <si>
    <t>Category</t>
  </si>
  <si>
    <t>Quantity</t>
  </si>
  <si>
    <t>Unit Price</t>
  </si>
  <si>
    <t>Discount %</t>
  </si>
  <si>
    <t>Payment Method</t>
  </si>
  <si>
    <t>Salesperson</t>
  </si>
  <si>
    <t>Total Sales</t>
  </si>
  <si>
    <t>Discount Amount</t>
  </si>
  <si>
    <t>Net Sales</t>
  </si>
  <si>
    <t>Order Month</t>
  </si>
  <si>
    <t>Order Year</t>
  </si>
  <si>
    <t>Ali</t>
  </si>
  <si>
    <t>Cairo</t>
  </si>
  <si>
    <t>Mouse</t>
  </si>
  <si>
    <t>Electronics</t>
  </si>
  <si>
    <t>Cash</t>
  </si>
  <si>
    <t>Mona</t>
  </si>
  <si>
    <t>Mahmoud</t>
  </si>
  <si>
    <t>Keyboard</t>
  </si>
  <si>
    <t>Card</t>
  </si>
  <si>
    <t>Youssef</t>
  </si>
  <si>
    <t>Reem</t>
  </si>
  <si>
    <t>Sofa</t>
  </si>
  <si>
    <t>Furniture</t>
  </si>
  <si>
    <t>Ahmed</t>
  </si>
  <si>
    <t>Mariam</t>
  </si>
  <si>
    <t>Alexandria</t>
  </si>
  <si>
    <t>Chair</t>
  </si>
  <si>
    <t>Yara</t>
  </si>
  <si>
    <t>Laptop</t>
  </si>
  <si>
    <t>Phone</t>
  </si>
  <si>
    <t>Laila</t>
  </si>
  <si>
    <t>Mansoura</t>
  </si>
  <si>
    <t>Desk</t>
  </si>
  <si>
    <t>Khaled</t>
  </si>
  <si>
    <t>Sara</t>
  </si>
  <si>
    <t>Tanta</t>
  </si>
  <si>
    <t>Nour</t>
  </si>
  <si>
    <t>Omar</t>
  </si>
  <si>
    <t>Monitor</t>
  </si>
  <si>
    <t>cairo</t>
  </si>
  <si>
    <t>Sum of Net Sales</t>
  </si>
  <si>
    <t>Grand Total</t>
  </si>
  <si>
    <t>January</t>
  </si>
  <si>
    <t>February</t>
  </si>
  <si>
    <t>March</t>
  </si>
  <si>
    <t>April</t>
  </si>
  <si>
    <t>Sum of Quantity</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</si>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</sst>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3"/>
      <name val="Arial"/>
      <family val="2"/>
      <scheme val="minor"/>
    </font>
    <font>
      <sz val="28"/>
      <color rgb="FF002060"/>
      <name val="Arial"/>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NumberFormat="1" applyAlignment="1">
      <alignment horizontal="center"/>
    </xf>
    <xf numFmtId="1" fontId="0" fillId="0" borderId="0" xfId="0" applyNumberFormat="1"/>
    <xf numFmtId="2" fontId="0" fillId="2" borderId="0" xfId="0" applyNumberFormat="1" applyFill="1" applyAlignment="1">
      <alignment horizontal="center"/>
    </xf>
    <xf numFmtId="0" fontId="0" fillId="2" borderId="0" xfId="0" applyFill="1" applyAlignment="1">
      <alignment horizontal="center"/>
    </xf>
    <xf numFmtId="0" fontId="0" fillId="2" borderId="0" xfId="0" applyFill="1"/>
    <xf numFmtId="0" fontId="0" fillId="0" borderId="0" xfId="0" applyBorder="1"/>
    <xf numFmtId="0" fontId="1" fillId="0" borderId="0" xfId="0" applyFont="1" applyAlignment="1">
      <alignment horizontal="center"/>
    </xf>
    <xf numFmtId="14" fontId="1" fillId="0" borderId="0" xfId="0" applyNumberFormat="1" applyFont="1" applyAlignment="1">
      <alignment horizontal="center"/>
    </xf>
    <xf numFmtId="0" fontId="1" fillId="0" borderId="0" xfId="0" applyNumberFormat="1" applyFont="1" applyAlignment="1">
      <alignment horizontal="center"/>
    </xf>
    <xf numFmtId="0" fontId="1" fillId="0" borderId="0" xfId="0" applyFont="1"/>
    <xf numFmtId="0" fontId="0" fillId="0" borderId="0" xfId="0" applyAlignment="1">
      <alignment horizontal="left"/>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cellXfs>
  <cellStyles count="1">
    <cellStyle name="Normal" xfId="0" builtinId="0"/>
  </cellStyles>
  <dxfs count="4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fill>
        <patternFill patternType="solid">
          <fgColor indexed="64"/>
          <bgColor theme="4" tint="0.79998168889431442"/>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1"/>
        <color theme="3"/>
        <name val="Arial"/>
        <scheme val="minor"/>
      </font>
      <alignment horizontal="center" vertical="bottom" textRotation="0" wrapText="0" indent="0" justifyLastLine="0" shrinkToFit="0" readingOrder="0"/>
    </dxf>
    <dxf>
      <fill>
        <patternFill>
          <bgColor rgb="FFFFC7CE"/>
        </patternFill>
      </fill>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FAFAA0"/>
      <color rgb="FFAB03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product!sales by product</c:name>
    <c:fmtId val="22"/>
  </c:pivotSource>
  <c:chart>
    <c:title>
      <c:tx>
        <c:rich>
          <a:bodyPr rot="0" spcFirstLastPara="1" vertOverflow="ellipsis" vert="horz" wrap="square" anchor="ctr" anchorCtr="1"/>
          <a:lstStyle/>
          <a:p>
            <a:pPr>
              <a:defRPr sz="1800" b="0" i="0" u="none" strike="noStrike" kern="1200" spc="0" baseline="0">
                <a:solidFill>
                  <a:schemeClr val="tx2">
                    <a:lumMod val="40000"/>
                    <a:lumOff val="60000"/>
                  </a:schemeClr>
                </a:solidFill>
                <a:latin typeface="+mn-lt"/>
                <a:ea typeface="+mn-ea"/>
                <a:cs typeface="+mn-cs"/>
              </a:defRPr>
            </a:pPr>
            <a:r>
              <a:rPr lang="en-US" sz="1800" b="1">
                <a:solidFill>
                  <a:schemeClr val="tx2">
                    <a:lumMod val="40000"/>
                    <a:lumOff val="60000"/>
                  </a:schemeClr>
                </a:solidFill>
              </a:rPr>
              <a:t>sales</a:t>
            </a:r>
            <a:r>
              <a:rPr lang="en-US" sz="1800">
                <a:solidFill>
                  <a:schemeClr val="tx2">
                    <a:lumMod val="40000"/>
                    <a:lumOff val="60000"/>
                  </a:schemeClr>
                </a:solidFill>
              </a:rPr>
              <a:t> </a:t>
            </a:r>
            <a:r>
              <a:rPr lang="en-US" sz="1800" b="1">
                <a:solidFill>
                  <a:schemeClr val="tx2">
                    <a:lumMod val="40000"/>
                    <a:lumOff val="60000"/>
                  </a:schemeClr>
                </a:solidFill>
              </a:rPr>
              <a:t>by</a:t>
            </a:r>
            <a:r>
              <a:rPr lang="en-US" sz="1800">
                <a:solidFill>
                  <a:schemeClr val="tx2">
                    <a:lumMod val="40000"/>
                    <a:lumOff val="60000"/>
                  </a:schemeClr>
                </a:solidFill>
              </a:rPr>
              <a:t> </a:t>
            </a:r>
            <a:r>
              <a:rPr lang="en-US" sz="1800" b="1">
                <a:solidFill>
                  <a:schemeClr val="tx2">
                    <a:lumMod val="40000"/>
                    <a:lumOff val="60000"/>
                  </a:schemeClr>
                </a:solidFill>
              </a:rPr>
              <a:t>product</a:t>
            </a:r>
          </a:p>
        </c:rich>
      </c:tx>
      <c:layout>
        <c:manualLayout>
          <c:xMode val="edge"/>
          <c:yMode val="edge"/>
          <c:x val="0.35644051130776794"/>
          <c:y val="3.9998067726196809E-2"/>
        </c:manualLayout>
      </c:layout>
      <c:overlay val="0"/>
      <c:spPr>
        <a:noFill/>
        <a:ln>
          <a:solidFill>
            <a:schemeClr val="bg1"/>
          </a:solidFill>
        </a:ln>
        <a:effectLst/>
      </c:spPr>
      <c:txPr>
        <a:bodyPr rot="0" spcFirstLastPara="1" vertOverflow="ellipsis" vert="horz" wrap="square" anchor="ctr" anchorCtr="1"/>
        <a:lstStyle/>
        <a:p>
          <a:pPr>
            <a:defRPr sz="1800" b="0" i="0" u="none" strike="noStrike" kern="1200" spc="0" baseline="0">
              <a:solidFill>
                <a:schemeClr val="tx2">
                  <a:lumMod val="40000"/>
                  <a:lumOff val="60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rgbClr val="002060"/>
          </a:solidFill>
          <a:ln>
            <a:solidFill>
              <a:srgbClr val="00206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rgbClr val="002060"/>
            </a:solidFill>
            <a:ln>
              <a:solidFill>
                <a:srgbClr val="002060"/>
              </a:solidFill>
            </a:ln>
            <a:effectLst/>
          </c:spPr>
          <c:invertIfNegative val="0"/>
          <c:cat>
            <c:strRef>
              <c:f>'sales by product'!$A$4:$A$12</c:f>
              <c:strCache>
                <c:ptCount val="8"/>
                <c:pt idx="0">
                  <c:v>Chair</c:v>
                </c:pt>
                <c:pt idx="1">
                  <c:v>Desk</c:v>
                </c:pt>
                <c:pt idx="2">
                  <c:v>Keyboard</c:v>
                </c:pt>
                <c:pt idx="3">
                  <c:v>Laptop</c:v>
                </c:pt>
                <c:pt idx="4">
                  <c:v>Monitor</c:v>
                </c:pt>
                <c:pt idx="5">
                  <c:v>Mouse</c:v>
                </c:pt>
                <c:pt idx="6">
                  <c:v>Phone</c:v>
                </c:pt>
                <c:pt idx="7">
                  <c:v>Sofa</c:v>
                </c:pt>
              </c:strCache>
            </c:strRef>
          </c:cat>
          <c:val>
            <c:numRef>
              <c:f>'sales by product'!$B$4:$B$12</c:f>
              <c:numCache>
                <c:formatCode>0</c:formatCode>
                <c:ptCount val="8"/>
                <c:pt idx="0">
                  <c:v>305109.69999999995</c:v>
                </c:pt>
                <c:pt idx="1">
                  <c:v>973310.2</c:v>
                </c:pt>
                <c:pt idx="2">
                  <c:v>236996.94999999998</c:v>
                </c:pt>
                <c:pt idx="3">
                  <c:v>2525746.6500000004</c:v>
                </c:pt>
                <c:pt idx="4">
                  <c:v>1472762.35</c:v>
                </c:pt>
                <c:pt idx="5">
                  <c:v>110359.29999999997</c:v>
                </c:pt>
                <c:pt idx="6">
                  <c:v>2341266.0999999996</c:v>
                </c:pt>
                <c:pt idx="7">
                  <c:v>2484995.1999999993</c:v>
                </c:pt>
              </c:numCache>
            </c:numRef>
          </c:val>
          <c:extLst>
            <c:ext xmlns:c16="http://schemas.microsoft.com/office/drawing/2014/chart" uri="{C3380CC4-5D6E-409C-BE32-E72D297353CC}">
              <c16:uniqueId val="{00000000-FE20-4773-A604-F61CB7322A52}"/>
            </c:ext>
          </c:extLst>
        </c:ser>
        <c:dLbls>
          <c:showLegendKey val="0"/>
          <c:showVal val="0"/>
          <c:showCatName val="0"/>
          <c:showSerName val="0"/>
          <c:showPercent val="0"/>
          <c:showBubbleSize val="0"/>
        </c:dLbls>
        <c:gapWidth val="182"/>
        <c:axId val="210992255"/>
        <c:axId val="210996415"/>
      </c:barChart>
      <c:catAx>
        <c:axId val="21099225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6415"/>
        <c:crosses val="autoZero"/>
        <c:auto val="1"/>
        <c:lblAlgn val="ctr"/>
        <c:lblOffset val="100"/>
        <c:noMultiLvlLbl val="0"/>
      </c:catAx>
      <c:valAx>
        <c:axId val="210996415"/>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2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city!sales by city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city</a:t>
            </a:r>
          </a:p>
        </c:rich>
      </c:tx>
      <c:layout>
        <c:manualLayout>
          <c:xMode val="edge"/>
          <c:yMode val="edge"/>
          <c:x val="0.4084096675415573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rgbClr val="00206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rgbClr val="002060"/>
            </a:solidFill>
            <a:ln>
              <a:solidFill>
                <a:schemeClr val="bg1"/>
              </a:solidFill>
            </a:ln>
            <a:effectLst/>
          </c:spPr>
          <c:invertIfNegative val="0"/>
          <c:cat>
            <c:strRef>
              <c:f>'sales by city'!$A$4:$A$8</c:f>
              <c:strCache>
                <c:ptCount val="4"/>
                <c:pt idx="0">
                  <c:v>Alexandria</c:v>
                </c:pt>
                <c:pt idx="1">
                  <c:v>Cairo</c:v>
                </c:pt>
                <c:pt idx="2">
                  <c:v>Mansoura</c:v>
                </c:pt>
                <c:pt idx="3">
                  <c:v>Tanta</c:v>
                </c:pt>
              </c:strCache>
            </c:strRef>
          </c:cat>
          <c:val>
            <c:numRef>
              <c:f>'sales by city'!$B$4:$B$8</c:f>
              <c:numCache>
                <c:formatCode>0</c:formatCode>
                <c:ptCount val="4"/>
                <c:pt idx="0">
                  <c:v>3473345.2999999993</c:v>
                </c:pt>
                <c:pt idx="1">
                  <c:v>3583224.8</c:v>
                </c:pt>
                <c:pt idx="2">
                  <c:v>1772686.3</c:v>
                </c:pt>
                <c:pt idx="3">
                  <c:v>1621290.0500000003</c:v>
                </c:pt>
              </c:numCache>
            </c:numRef>
          </c:val>
          <c:extLst>
            <c:ext xmlns:c16="http://schemas.microsoft.com/office/drawing/2014/chart" uri="{C3380CC4-5D6E-409C-BE32-E72D297353CC}">
              <c16:uniqueId val="{00000000-CB64-4782-9352-2666D28F2DDB}"/>
            </c:ext>
          </c:extLst>
        </c:ser>
        <c:dLbls>
          <c:showLegendKey val="0"/>
          <c:showVal val="0"/>
          <c:showCatName val="0"/>
          <c:showSerName val="0"/>
          <c:showPercent val="0"/>
          <c:showBubbleSize val="0"/>
        </c:dLbls>
        <c:gapWidth val="219"/>
        <c:overlap val="-27"/>
        <c:axId val="210996831"/>
        <c:axId val="210997247"/>
      </c:barChart>
      <c:catAx>
        <c:axId val="2109968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7247"/>
        <c:crosses val="autoZero"/>
        <c:auto val="1"/>
        <c:lblAlgn val="ctr"/>
        <c:lblOffset val="100"/>
        <c:noMultiLvlLbl val="0"/>
      </c:catAx>
      <c:valAx>
        <c:axId val="21099724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6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payment method!sales by payment method</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payment</a:t>
            </a:r>
            <a:r>
              <a:rPr lang="en-US" sz="1800" baseline="0">
                <a:solidFill>
                  <a:schemeClr val="tx2">
                    <a:lumMod val="40000"/>
                    <a:lumOff val="60000"/>
                  </a:schemeClr>
                </a:solidFill>
              </a:rPr>
              <a:t> method</a:t>
            </a:r>
            <a:endParaRPr lang="en-US" sz="1800">
              <a:solidFill>
                <a:schemeClr val="tx2">
                  <a:lumMod val="40000"/>
                  <a:lumOff val="60000"/>
                </a:schemeClr>
              </a:solidFill>
            </a:endParaRPr>
          </a:p>
        </c:rich>
      </c:tx>
      <c:layout>
        <c:manualLayout>
          <c:xMode val="edge"/>
          <c:yMode val="edge"/>
          <c:x val="0.2670623359580052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3">
              <a:lumMod val="20000"/>
              <a:lumOff val="80000"/>
            </a:schemeClr>
          </a:solidFill>
          <a:ln w="19050">
            <a:solidFill>
              <a:schemeClr val="lt1"/>
            </a:solidFill>
          </a:ln>
          <a:effectLst/>
        </c:spPr>
      </c:pivotFmt>
      <c:pivotFmt>
        <c:idx val="2"/>
        <c:spPr>
          <a:solidFill>
            <a:schemeClr val="tx2">
              <a:lumMod val="75000"/>
            </a:schemeClr>
          </a:solidFill>
          <a:ln w="19050">
            <a:solidFill>
              <a:schemeClr val="lt1"/>
            </a:solidFill>
          </a:ln>
          <a:effectLst/>
        </c:spPr>
      </c:pivotFmt>
      <c:pivotFmt>
        <c:idx val="3"/>
        <c:spPr>
          <a:solidFill>
            <a:schemeClr val="accent3">
              <a:lumMod val="20000"/>
              <a:lumOff val="80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chemeClr val="lt1"/>
            </a:solidFill>
          </a:ln>
          <a:effectLst/>
        </c:spPr>
        <c:dLbl>
          <c:idx val="0"/>
          <c:layout>
            <c:manualLayout>
              <c:x val="-0.14328674540682415"/>
              <c:y val="-6.729367162438028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8.033333333333334E-2"/>
                  <c:h val="8.789370078740158E-2"/>
                </c:manualLayout>
              </c15:layout>
              <c15:dlblFieldTable/>
              <c15:showDataLabelsRange val="0"/>
            </c:ext>
          </c:extLst>
        </c:dLbl>
      </c:pivotFmt>
      <c:pivotFmt>
        <c:idx val="5"/>
        <c:spPr>
          <a:solidFill>
            <a:schemeClr val="tx2">
              <a:lumMod val="75000"/>
            </a:schemeClr>
          </a:solidFill>
          <a:ln w="19050">
            <a:solidFill>
              <a:schemeClr val="lt1"/>
            </a:solidFill>
          </a:ln>
          <a:effectLst/>
        </c:spPr>
        <c:dLbl>
          <c:idx val="0"/>
          <c:layout>
            <c:manualLayout>
              <c:x val="0.11454571303587052"/>
              <c:y val="-2.71941528142315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4ACCCF-A767-40F2-AE98-E2DA9AE57BFE}" type="PERCENTAGE">
                  <a:rPr lang="en-US"/>
                  <a:pPr>
                    <a:defRPr/>
                  </a:pPr>
                  <a:t>[]</a:t>
                </a:fld>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by payment method'!$B$4</c:f>
              <c:strCache>
                <c:ptCount val="1"/>
                <c:pt idx="0">
                  <c:v>Total</c:v>
                </c:pt>
              </c:strCache>
            </c:strRef>
          </c:tx>
          <c:spPr>
            <a:solidFill>
              <a:schemeClr val="accent3">
                <a:lumMod val="20000"/>
                <a:lumOff val="80000"/>
              </a:schemeClr>
            </a:solidFill>
          </c:spPr>
          <c:dPt>
            <c:idx val="0"/>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30-4D11-40E5-A5E7-48A04384C086}"/>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2F-4D11-40E5-A5E7-48A04384C086}"/>
              </c:ext>
            </c:extLst>
          </c:dPt>
          <c:dLbls>
            <c:dLbl>
              <c:idx val="0"/>
              <c:layout>
                <c:manualLayout>
                  <c:x val="-0.14328674540682415"/>
                  <c:y val="-6.729367162438028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8.033333333333334E-2"/>
                      <c:h val="8.789370078740158E-2"/>
                    </c:manualLayout>
                  </c15:layout>
                  <c15:dlblFieldTable/>
                  <c15:showDataLabelsRange val="0"/>
                </c:ext>
                <c:ext xmlns:c16="http://schemas.microsoft.com/office/drawing/2014/chart" uri="{C3380CC4-5D6E-409C-BE32-E72D297353CC}">
                  <c16:uniqueId val="{00000030-4D11-40E5-A5E7-48A04384C086}"/>
                </c:ext>
              </c:extLst>
            </c:dLbl>
            <c:dLbl>
              <c:idx val="1"/>
              <c:layout>
                <c:manualLayout>
                  <c:x val="0.11454571303587052"/>
                  <c:y val="-2.7194152814231553E-2"/>
                </c:manualLayout>
              </c:layout>
              <c:tx>
                <c:rich>
                  <a:bodyPr/>
                  <a:lstStyle/>
                  <a:p>
                    <a:fld id="{004ACCCF-A767-40F2-AE98-E2DA9AE57BFE}" type="PERCENTAGE">
                      <a:rPr lang="en-US"/>
                      <a:pPr/>
                      <a:t>[]</a:t>
                    </a:fld>
                    <a:endParaRP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F-4D11-40E5-A5E7-48A04384C08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payment method'!$A$5:$A$7</c:f>
              <c:strCache>
                <c:ptCount val="2"/>
                <c:pt idx="0">
                  <c:v>Card</c:v>
                </c:pt>
                <c:pt idx="1">
                  <c:v>Cash</c:v>
                </c:pt>
              </c:strCache>
            </c:strRef>
          </c:cat>
          <c:val>
            <c:numRef>
              <c:f>'sales by payment method'!$B$5:$B$7</c:f>
              <c:numCache>
                <c:formatCode>0</c:formatCode>
                <c:ptCount val="2"/>
                <c:pt idx="0">
                  <c:v>5108195.1000000015</c:v>
                </c:pt>
                <c:pt idx="1">
                  <c:v>5342351.3499999987</c:v>
                </c:pt>
              </c:numCache>
            </c:numRef>
          </c:val>
          <c:extLst>
            <c:ext xmlns:c16="http://schemas.microsoft.com/office/drawing/2014/chart" uri="{C3380CC4-5D6E-409C-BE32-E72D297353CC}">
              <c16:uniqueId val="{00000000-4D11-40E5-A5E7-48A04384C086}"/>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category!sales by category</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category</a:t>
            </a:r>
          </a:p>
        </c:rich>
      </c:tx>
      <c:layout>
        <c:manualLayout>
          <c:xMode val="edge"/>
          <c:yMode val="edge"/>
          <c:x val="0.3354304461942257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4">
              <a:lumMod val="60000"/>
              <a:lumOff val="40000"/>
            </a:schemeClr>
          </a:solidFill>
          <a:ln w="19050">
            <a:solidFill>
              <a:schemeClr val="lt1"/>
            </a:solidFill>
          </a:ln>
          <a:effectLst/>
        </c:spPr>
        <c:dLbl>
          <c:idx val="0"/>
          <c:layout>
            <c:manualLayout>
              <c:x val="0.10743525809273841"/>
              <c:y val="8.344196558763479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FAFAA0"/>
          </a:solidFill>
          <a:ln w="19050">
            <a:solidFill>
              <a:schemeClr val="lt1"/>
            </a:solidFill>
          </a:ln>
          <a:effectLst/>
        </c:spPr>
        <c:dLbl>
          <c:idx val="0"/>
          <c:layout>
            <c:manualLayout>
              <c:x val="-0.14327537182852154"/>
              <c:y val="-0.13792960775736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FAA0"/>
          </a:solidFill>
          <a:ln w="19050">
            <a:solidFill>
              <a:schemeClr val="lt1"/>
            </a:solidFill>
          </a:ln>
          <a:effectLst/>
        </c:spPr>
        <c:dLbl>
          <c:idx val="0"/>
          <c:layout>
            <c:manualLayout>
              <c:x val="-0.14327537182852154"/>
              <c:y val="-0.13792960775736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6"/>
        <c:spPr>
          <a:solidFill>
            <a:schemeClr val="accent4">
              <a:lumMod val="60000"/>
              <a:lumOff val="40000"/>
            </a:schemeClr>
          </a:solidFill>
          <a:ln w="19050">
            <a:solidFill>
              <a:schemeClr val="lt1"/>
            </a:solidFill>
          </a:ln>
          <a:effectLst/>
        </c:spPr>
        <c:dLbl>
          <c:idx val="0"/>
          <c:layout>
            <c:manualLayout>
              <c:x val="0.10743525809273841"/>
              <c:y val="8.344196558763479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by category'!$B$4</c:f>
              <c:strCache>
                <c:ptCount val="1"/>
                <c:pt idx="0">
                  <c:v>Total</c:v>
                </c:pt>
              </c:strCache>
            </c:strRef>
          </c:tx>
          <c:dPt>
            <c:idx val="0"/>
            <c:bubble3D val="0"/>
            <c:spPr>
              <a:solidFill>
                <a:srgbClr val="FAFAA0"/>
              </a:solidFill>
              <a:ln w="19050">
                <a:solidFill>
                  <a:schemeClr val="lt1"/>
                </a:solidFill>
              </a:ln>
              <a:effectLst/>
            </c:spPr>
            <c:extLst>
              <c:ext xmlns:c16="http://schemas.microsoft.com/office/drawing/2014/chart" uri="{C3380CC4-5D6E-409C-BE32-E72D297353CC}">
                <c16:uniqueId val="{00000056-4654-4589-8034-1DED0D5371CD}"/>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44-4654-4589-8034-1DED0D5371CD}"/>
              </c:ext>
            </c:extLst>
          </c:dPt>
          <c:dLbls>
            <c:dLbl>
              <c:idx val="0"/>
              <c:layout>
                <c:manualLayout>
                  <c:x val="-0.14327537182852154"/>
                  <c:y val="-0.13792960775736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 xmlns:c16="http://schemas.microsoft.com/office/drawing/2014/chart" uri="{C3380CC4-5D6E-409C-BE32-E72D297353CC}">
                  <c16:uniqueId val="{00000056-4654-4589-8034-1DED0D5371CD}"/>
                </c:ext>
              </c:extLst>
            </c:dLbl>
            <c:dLbl>
              <c:idx val="1"/>
              <c:layout>
                <c:manualLayout>
                  <c:x val="0.10743525809273841"/>
                  <c:y val="8.3441965587634795E-2"/>
                </c:manualLayout>
              </c:layout>
              <c:tx>
                <c:rich>
                  <a:bodyPr/>
                  <a:lstStyle/>
                  <a:p>
                    <a:fld id="{50DAA6B5-7B46-4B2F-9756-6F80CFEEAAA6}" type="PERCENTAGE">
                      <a:rPr lang="en-US" sz="1050"/>
                      <a:pPr/>
                      <a:t>[]</a:t>
                    </a:fld>
                    <a:endParaRP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4-4654-4589-8034-1DED0D5371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category'!$A$5:$A$7</c:f>
              <c:strCache>
                <c:ptCount val="2"/>
                <c:pt idx="0">
                  <c:v>Electronics</c:v>
                </c:pt>
                <c:pt idx="1">
                  <c:v>Furniture</c:v>
                </c:pt>
              </c:strCache>
            </c:strRef>
          </c:cat>
          <c:val>
            <c:numRef>
              <c:f>'sales by category'!$B$5:$B$7</c:f>
              <c:numCache>
                <c:formatCode>0</c:formatCode>
                <c:ptCount val="2"/>
                <c:pt idx="0">
                  <c:v>6687131.3500000006</c:v>
                </c:pt>
                <c:pt idx="1">
                  <c:v>3763415.0999999996</c:v>
                </c:pt>
              </c:numCache>
            </c:numRef>
          </c:val>
          <c:extLst>
            <c:ext xmlns:c16="http://schemas.microsoft.com/office/drawing/2014/chart" uri="{C3380CC4-5D6E-409C-BE32-E72D297353CC}">
              <c16:uniqueId val="{00000000-4654-4589-8034-1DED0D5371CD}"/>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salesperson!sales by salesperson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sales by salesperson</a:t>
            </a:r>
          </a:p>
        </c:rich>
      </c:tx>
      <c:layout>
        <c:manualLayout>
          <c:xMode val="edge"/>
          <c:yMode val="edge"/>
          <c:x val="0.3155623359580052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4081364829397"/>
          <c:y val="0.27254410906969961"/>
          <c:w val="0.71447003499562556"/>
          <c:h val="0.53774387576552929"/>
        </c:manualLayout>
      </c:layout>
      <c:barChart>
        <c:barDir val="bar"/>
        <c:grouping val="clustered"/>
        <c:varyColors val="0"/>
        <c:ser>
          <c:idx val="0"/>
          <c:order val="0"/>
          <c:tx>
            <c:strRef>
              <c:f>'sales by salesperson'!$B$4</c:f>
              <c:strCache>
                <c:ptCount val="1"/>
                <c:pt idx="0">
                  <c:v>Total</c:v>
                </c:pt>
              </c:strCache>
            </c:strRef>
          </c:tx>
          <c:spPr>
            <a:solidFill>
              <a:srgbClr val="002060"/>
            </a:solidFill>
            <a:ln>
              <a:noFill/>
            </a:ln>
            <a:effectLst/>
          </c:spPr>
          <c:invertIfNegative val="0"/>
          <c:cat>
            <c:strRef>
              <c:f>'sales by salesperson'!$A$5:$A$8</c:f>
              <c:strCache>
                <c:ptCount val="3"/>
                <c:pt idx="0">
                  <c:v>Ahmed</c:v>
                </c:pt>
                <c:pt idx="1">
                  <c:v>Mona</c:v>
                </c:pt>
                <c:pt idx="2">
                  <c:v>Youssef</c:v>
                </c:pt>
              </c:strCache>
            </c:strRef>
          </c:cat>
          <c:val>
            <c:numRef>
              <c:f>'sales by salesperson'!$B$5:$B$8</c:f>
              <c:numCache>
                <c:formatCode>0</c:formatCode>
                <c:ptCount val="3"/>
                <c:pt idx="0">
                  <c:v>3666801.2</c:v>
                </c:pt>
                <c:pt idx="1">
                  <c:v>3071148.8999999994</c:v>
                </c:pt>
                <c:pt idx="2">
                  <c:v>3712596.3500000006</c:v>
                </c:pt>
              </c:numCache>
            </c:numRef>
          </c:val>
          <c:extLst>
            <c:ext xmlns:c16="http://schemas.microsoft.com/office/drawing/2014/chart" uri="{C3380CC4-5D6E-409C-BE32-E72D297353CC}">
              <c16:uniqueId val="{00000000-359E-41C7-92A7-7490B261CCF9}"/>
            </c:ext>
          </c:extLst>
        </c:ser>
        <c:dLbls>
          <c:showLegendKey val="0"/>
          <c:showVal val="0"/>
          <c:showCatName val="0"/>
          <c:showSerName val="0"/>
          <c:showPercent val="0"/>
          <c:showBubbleSize val="0"/>
        </c:dLbls>
        <c:gapWidth val="219"/>
        <c:axId val="211007231"/>
        <c:axId val="210988095"/>
      </c:barChart>
      <c:catAx>
        <c:axId val="21100723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8095"/>
        <c:crosses val="autoZero"/>
        <c:auto val="1"/>
        <c:lblAlgn val="ctr"/>
        <c:lblOffset val="100"/>
        <c:noMultiLvlLbl val="0"/>
      </c:catAx>
      <c:valAx>
        <c:axId val="210988095"/>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10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1.xlsx]monthly sales!monthly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monthly</a:t>
            </a:r>
            <a:r>
              <a:rPr lang="en-US" sz="1800" baseline="0">
                <a:solidFill>
                  <a:schemeClr val="accent1">
                    <a:lumMod val="60000"/>
                    <a:lumOff val="40000"/>
                  </a:schemeClr>
                </a:solidFill>
              </a:rPr>
              <a:t> sales</a:t>
            </a:r>
            <a:endParaRPr lang="en-US" sz="1800">
              <a:solidFill>
                <a:schemeClr val="accent1">
                  <a:lumMod val="60000"/>
                  <a:lumOff val="40000"/>
                </a:schemeClr>
              </a:solidFill>
            </a:endParaRPr>
          </a:p>
        </c:rich>
      </c:tx>
      <c:layout>
        <c:manualLayout>
          <c:xMode val="edge"/>
          <c:yMode val="edge"/>
          <c:x val="0.37670122484689411"/>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rgbClr val="002060"/>
            </a:solidFill>
            <a:round/>
          </a:ln>
          <a:effectLst/>
        </c:spPr>
        <c:marker>
          <c:symbol val="none"/>
        </c:marker>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sales'!$B$4</c:f>
              <c:strCache>
                <c:ptCount val="1"/>
                <c:pt idx="0">
                  <c:v>Total</c:v>
                </c:pt>
              </c:strCache>
            </c:strRef>
          </c:tx>
          <c:spPr>
            <a:ln w="28575" cap="rnd">
              <a:solidFill>
                <a:srgbClr val="002060"/>
              </a:solidFill>
              <a:round/>
            </a:ln>
            <a:effectLst/>
          </c:spPr>
          <c:marker>
            <c:symbol val="none"/>
          </c:marker>
          <c:cat>
            <c:strRef>
              <c:f>'monthly sales'!$A$5:$A$9</c:f>
              <c:strCache>
                <c:ptCount val="4"/>
                <c:pt idx="0">
                  <c:v>January</c:v>
                </c:pt>
                <c:pt idx="1">
                  <c:v>February</c:v>
                </c:pt>
                <c:pt idx="2">
                  <c:v>March</c:v>
                </c:pt>
                <c:pt idx="3">
                  <c:v>April</c:v>
                </c:pt>
              </c:strCache>
            </c:strRef>
          </c:cat>
          <c:val>
            <c:numRef>
              <c:f>'monthly sales'!$B$5:$B$9</c:f>
              <c:numCache>
                <c:formatCode>General</c:formatCode>
                <c:ptCount val="4"/>
                <c:pt idx="0">
                  <c:v>3595995.5999999992</c:v>
                </c:pt>
                <c:pt idx="1">
                  <c:v>2804513.65</c:v>
                </c:pt>
                <c:pt idx="2">
                  <c:v>3859520.1999999997</c:v>
                </c:pt>
                <c:pt idx="3">
                  <c:v>190517</c:v>
                </c:pt>
              </c:numCache>
            </c:numRef>
          </c:val>
          <c:smooth val="0"/>
          <c:extLst>
            <c:ext xmlns:c16="http://schemas.microsoft.com/office/drawing/2014/chart" uri="{C3380CC4-5D6E-409C-BE32-E72D297353CC}">
              <c16:uniqueId val="{00000000-0D15-4DE7-BA6A-2CA12271D9D2}"/>
            </c:ext>
          </c:extLst>
        </c:ser>
        <c:dLbls>
          <c:showLegendKey val="0"/>
          <c:showVal val="0"/>
          <c:showCatName val="0"/>
          <c:showSerName val="0"/>
          <c:showPercent val="0"/>
          <c:showBubbleSize val="0"/>
        </c:dLbls>
        <c:smooth val="0"/>
        <c:axId val="210979775"/>
        <c:axId val="210981023"/>
      </c:lineChart>
      <c:catAx>
        <c:axId val="21097977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1023"/>
        <c:crosses val="autoZero"/>
        <c:auto val="1"/>
        <c:lblAlgn val="ctr"/>
        <c:lblOffset val="100"/>
        <c:noMultiLvlLbl val="0"/>
      </c:catAx>
      <c:valAx>
        <c:axId val="21098102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79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1.xlsx]quantity by product!quantity by product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quantity</a:t>
            </a:r>
            <a:r>
              <a:rPr lang="en-US" sz="1800" baseline="0">
                <a:solidFill>
                  <a:schemeClr val="accent1">
                    <a:lumMod val="60000"/>
                    <a:lumOff val="40000"/>
                  </a:schemeClr>
                </a:solidFill>
              </a:rPr>
              <a:t> by product</a:t>
            </a:r>
            <a:endParaRPr lang="en-US" sz="1800">
              <a:solidFill>
                <a:schemeClr val="accent1">
                  <a:lumMod val="60000"/>
                  <a:lumOff val="40000"/>
                </a:schemeClr>
              </a:solidFill>
            </a:endParaRPr>
          </a:p>
        </c:rich>
      </c:tx>
      <c:layout>
        <c:manualLayout>
          <c:xMode val="edge"/>
          <c:yMode val="edge"/>
          <c:x val="0.341340113735783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by product'!$B$4</c:f>
              <c:strCache>
                <c:ptCount val="1"/>
                <c:pt idx="0">
                  <c:v>Total</c:v>
                </c:pt>
              </c:strCache>
            </c:strRef>
          </c:tx>
          <c:spPr>
            <a:solidFill>
              <a:srgbClr val="002060"/>
            </a:solidFill>
            <a:ln>
              <a:noFill/>
            </a:ln>
            <a:effectLst/>
          </c:spPr>
          <c:invertIfNegative val="0"/>
          <c:cat>
            <c:strRef>
              <c:f>'quantity by product'!$A$5:$A$13</c:f>
              <c:strCache>
                <c:ptCount val="8"/>
                <c:pt idx="0">
                  <c:v>Chair</c:v>
                </c:pt>
                <c:pt idx="1">
                  <c:v>Desk</c:v>
                </c:pt>
                <c:pt idx="2">
                  <c:v>Keyboard</c:v>
                </c:pt>
                <c:pt idx="3">
                  <c:v>Laptop</c:v>
                </c:pt>
                <c:pt idx="4">
                  <c:v>Monitor</c:v>
                </c:pt>
                <c:pt idx="5">
                  <c:v>Mouse</c:v>
                </c:pt>
                <c:pt idx="6">
                  <c:v>Phone</c:v>
                </c:pt>
                <c:pt idx="7">
                  <c:v>Sofa</c:v>
                </c:pt>
              </c:strCache>
            </c:strRef>
          </c:cat>
          <c:val>
            <c:numRef>
              <c:f>'quantity by product'!$B$5:$B$13</c:f>
              <c:numCache>
                <c:formatCode>General</c:formatCode>
                <c:ptCount val="8"/>
                <c:pt idx="0">
                  <c:v>286</c:v>
                </c:pt>
                <c:pt idx="1">
                  <c:v>300</c:v>
                </c:pt>
                <c:pt idx="2">
                  <c:v>283</c:v>
                </c:pt>
                <c:pt idx="3">
                  <c:v>185</c:v>
                </c:pt>
                <c:pt idx="4">
                  <c:v>228</c:v>
                </c:pt>
                <c:pt idx="5">
                  <c:v>238</c:v>
                </c:pt>
                <c:pt idx="6">
                  <c:v>287</c:v>
                </c:pt>
                <c:pt idx="7">
                  <c:v>269</c:v>
                </c:pt>
              </c:numCache>
            </c:numRef>
          </c:val>
          <c:extLst>
            <c:ext xmlns:c16="http://schemas.microsoft.com/office/drawing/2014/chart" uri="{C3380CC4-5D6E-409C-BE32-E72D297353CC}">
              <c16:uniqueId val="{00000000-04CF-4F24-AB58-9A0B4A4EA938}"/>
            </c:ext>
          </c:extLst>
        </c:ser>
        <c:dLbls>
          <c:showLegendKey val="0"/>
          <c:showVal val="0"/>
          <c:showCatName val="0"/>
          <c:showSerName val="0"/>
          <c:showPercent val="0"/>
          <c:showBubbleSize val="0"/>
        </c:dLbls>
        <c:gapWidth val="219"/>
        <c:overlap val="-27"/>
        <c:axId val="210994751"/>
        <c:axId val="210988927"/>
      </c:barChart>
      <c:catAx>
        <c:axId val="2109947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8927"/>
        <c:crosses val="autoZero"/>
        <c:auto val="1"/>
        <c:lblAlgn val="ctr"/>
        <c:lblOffset val="100"/>
        <c:noMultiLvlLbl val="0"/>
      </c:catAx>
      <c:valAx>
        <c:axId val="21098892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product!sales by product</c:name>
    <c:fmtId val="26"/>
  </c:pivotSource>
  <c:chart>
    <c:title>
      <c:tx>
        <c:rich>
          <a:bodyPr rot="0" spcFirstLastPara="1" vertOverflow="ellipsis" vert="horz" wrap="square" anchor="ctr" anchorCtr="1"/>
          <a:lstStyle/>
          <a:p>
            <a:pPr>
              <a:defRPr sz="1800" b="0" i="0" u="none" strike="noStrike" kern="1200" spc="0" baseline="0">
                <a:solidFill>
                  <a:schemeClr val="tx2">
                    <a:lumMod val="40000"/>
                    <a:lumOff val="60000"/>
                  </a:schemeClr>
                </a:solidFill>
                <a:latin typeface="+mn-lt"/>
                <a:ea typeface="+mn-ea"/>
                <a:cs typeface="+mn-cs"/>
              </a:defRPr>
            </a:pPr>
            <a:r>
              <a:rPr lang="en-US" sz="1800" b="1">
                <a:solidFill>
                  <a:schemeClr val="tx2">
                    <a:lumMod val="40000"/>
                    <a:lumOff val="60000"/>
                  </a:schemeClr>
                </a:solidFill>
              </a:rPr>
              <a:t>sales</a:t>
            </a:r>
            <a:r>
              <a:rPr lang="en-US" sz="1800">
                <a:solidFill>
                  <a:schemeClr val="tx2">
                    <a:lumMod val="40000"/>
                    <a:lumOff val="60000"/>
                  </a:schemeClr>
                </a:solidFill>
              </a:rPr>
              <a:t> </a:t>
            </a:r>
            <a:r>
              <a:rPr lang="en-US" sz="1800" b="1">
                <a:solidFill>
                  <a:schemeClr val="tx2">
                    <a:lumMod val="40000"/>
                    <a:lumOff val="60000"/>
                  </a:schemeClr>
                </a:solidFill>
              </a:rPr>
              <a:t>by</a:t>
            </a:r>
            <a:r>
              <a:rPr lang="en-US" sz="1800">
                <a:solidFill>
                  <a:schemeClr val="tx2">
                    <a:lumMod val="40000"/>
                    <a:lumOff val="60000"/>
                  </a:schemeClr>
                </a:solidFill>
              </a:rPr>
              <a:t> </a:t>
            </a:r>
            <a:r>
              <a:rPr lang="en-US" sz="1800" b="1">
                <a:solidFill>
                  <a:schemeClr val="tx2">
                    <a:lumMod val="40000"/>
                    <a:lumOff val="60000"/>
                  </a:schemeClr>
                </a:solidFill>
              </a:rPr>
              <a:t>product</a:t>
            </a:r>
          </a:p>
        </c:rich>
      </c:tx>
      <c:layout>
        <c:manualLayout>
          <c:xMode val="edge"/>
          <c:yMode val="edge"/>
          <c:x val="0.35644051130776794"/>
          <c:y val="3.9998067726196809E-2"/>
        </c:manualLayout>
      </c:layout>
      <c:overlay val="0"/>
      <c:spPr>
        <a:noFill/>
        <a:ln>
          <a:solidFill>
            <a:schemeClr val="bg1"/>
          </a:solidFill>
        </a:ln>
        <a:effectLst/>
      </c:spPr>
      <c:txPr>
        <a:bodyPr rot="0" spcFirstLastPara="1" vertOverflow="ellipsis" vert="horz" wrap="square" anchor="ctr" anchorCtr="1"/>
        <a:lstStyle/>
        <a:p>
          <a:pPr>
            <a:defRPr sz="1800" b="0" i="0" u="none" strike="noStrike" kern="1200" spc="0" baseline="0">
              <a:solidFill>
                <a:schemeClr val="tx2">
                  <a:lumMod val="40000"/>
                  <a:lumOff val="60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rgbClr val="002060"/>
          </a:solidFill>
          <a:ln>
            <a:solidFill>
              <a:srgbClr val="00206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c:spPr>
        <c:marker>
          <c:symbol val="none"/>
        </c:marker>
      </c:pivotFmt>
      <c:pivotFmt>
        <c:idx val="3"/>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Total</c:v>
                </c:pt>
              </c:strCache>
            </c:strRef>
          </c:tx>
          <c:spPr>
            <a:solidFill>
              <a:srgbClr val="002060"/>
            </a:solidFill>
            <a:ln>
              <a:solidFill>
                <a:srgbClr val="002060"/>
              </a:solidFill>
            </a:ln>
            <a:effectLst/>
          </c:spPr>
          <c:invertIfNegative val="0"/>
          <c:cat>
            <c:strRef>
              <c:f>'sales by product'!$A$4:$A$12</c:f>
              <c:strCache>
                <c:ptCount val="8"/>
                <c:pt idx="0">
                  <c:v>Chair</c:v>
                </c:pt>
                <c:pt idx="1">
                  <c:v>Desk</c:v>
                </c:pt>
                <c:pt idx="2">
                  <c:v>Keyboard</c:v>
                </c:pt>
                <c:pt idx="3">
                  <c:v>Laptop</c:v>
                </c:pt>
                <c:pt idx="4">
                  <c:v>Monitor</c:v>
                </c:pt>
                <c:pt idx="5">
                  <c:v>Mouse</c:v>
                </c:pt>
                <c:pt idx="6">
                  <c:v>Phone</c:v>
                </c:pt>
                <c:pt idx="7">
                  <c:v>Sofa</c:v>
                </c:pt>
              </c:strCache>
            </c:strRef>
          </c:cat>
          <c:val>
            <c:numRef>
              <c:f>'sales by product'!$B$4:$B$12</c:f>
              <c:numCache>
                <c:formatCode>0</c:formatCode>
                <c:ptCount val="8"/>
                <c:pt idx="0">
                  <c:v>305109.69999999995</c:v>
                </c:pt>
                <c:pt idx="1">
                  <c:v>973310.2</c:v>
                </c:pt>
                <c:pt idx="2">
                  <c:v>236996.94999999998</c:v>
                </c:pt>
                <c:pt idx="3">
                  <c:v>2525746.6500000004</c:v>
                </c:pt>
                <c:pt idx="4">
                  <c:v>1472762.35</c:v>
                </c:pt>
                <c:pt idx="5">
                  <c:v>110359.29999999997</c:v>
                </c:pt>
                <c:pt idx="6">
                  <c:v>2341266.0999999996</c:v>
                </c:pt>
                <c:pt idx="7">
                  <c:v>2484995.1999999993</c:v>
                </c:pt>
              </c:numCache>
            </c:numRef>
          </c:val>
          <c:extLst>
            <c:ext xmlns:c16="http://schemas.microsoft.com/office/drawing/2014/chart" uri="{C3380CC4-5D6E-409C-BE32-E72D297353CC}">
              <c16:uniqueId val="{00000000-ECDB-4C2B-8989-785326A482E5}"/>
            </c:ext>
          </c:extLst>
        </c:ser>
        <c:dLbls>
          <c:showLegendKey val="0"/>
          <c:showVal val="0"/>
          <c:showCatName val="0"/>
          <c:showSerName val="0"/>
          <c:showPercent val="0"/>
          <c:showBubbleSize val="0"/>
        </c:dLbls>
        <c:gapWidth val="182"/>
        <c:axId val="210992255"/>
        <c:axId val="210996415"/>
      </c:barChart>
      <c:catAx>
        <c:axId val="21099225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6415"/>
        <c:crosses val="autoZero"/>
        <c:auto val="1"/>
        <c:lblAlgn val="ctr"/>
        <c:lblOffset val="100"/>
        <c:noMultiLvlLbl val="0"/>
      </c:catAx>
      <c:valAx>
        <c:axId val="210996415"/>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2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city!sales by city</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city</a:t>
            </a:r>
          </a:p>
        </c:rich>
      </c:tx>
      <c:layout>
        <c:manualLayout>
          <c:xMode val="edge"/>
          <c:yMode val="edge"/>
          <c:x val="0.4084096675415573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pivotFmt>
      <c:pivotFmt>
        <c:idx val="1"/>
        <c:spPr>
          <a:solidFill>
            <a:srgbClr val="002060"/>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bg1"/>
            </a:solidFill>
          </a:ln>
          <a:effectLst/>
        </c:spPr>
        <c:marker>
          <c:symbol val="none"/>
        </c:marker>
      </c:pivotFmt>
      <c:pivotFmt>
        <c:idx val="3"/>
        <c:spPr>
          <a:solidFill>
            <a:srgbClr val="00206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3899033897357"/>
          <c:y val="0.28590077282006415"/>
          <c:w val="0.75699577446436217"/>
          <c:h val="0.5151279527559055"/>
        </c:manualLayout>
      </c:layout>
      <c:barChart>
        <c:barDir val="col"/>
        <c:grouping val="clustered"/>
        <c:varyColors val="0"/>
        <c:ser>
          <c:idx val="0"/>
          <c:order val="0"/>
          <c:tx>
            <c:strRef>
              <c:f>'sales by city'!$B$3</c:f>
              <c:strCache>
                <c:ptCount val="1"/>
                <c:pt idx="0">
                  <c:v>Total</c:v>
                </c:pt>
              </c:strCache>
            </c:strRef>
          </c:tx>
          <c:spPr>
            <a:solidFill>
              <a:srgbClr val="002060"/>
            </a:solidFill>
            <a:ln>
              <a:solidFill>
                <a:schemeClr val="bg1"/>
              </a:solidFill>
            </a:ln>
            <a:effectLst/>
          </c:spPr>
          <c:invertIfNegative val="0"/>
          <c:cat>
            <c:strRef>
              <c:f>'sales by city'!$A$4:$A$8</c:f>
              <c:strCache>
                <c:ptCount val="4"/>
                <c:pt idx="0">
                  <c:v>Alexandria</c:v>
                </c:pt>
                <c:pt idx="1">
                  <c:v>Cairo</c:v>
                </c:pt>
                <c:pt idx="2">
                  <c:v>Mansoura</c:v>
                </c:pt>
                <c:pt idx="3">
                  <c:v>Tanta</c:v>
                </c:pt>
              </c:strCache>
            </c:strRef>
          </c:cat>
          <c:val>
            <c:numRef>
              <c:f>'sales by city'!$B$4:$B$8</c:f>
              <c:numCache>
                <c:formatCode>0</c:formatCode>
                <c:ptCount val="4"/>
                <c:pt idx="0">
                  <c:v>3473345.2999999993</c:v>
                </c:pt>
                <c:pt idx="1">
                  <c:v>3583224.8</c:v>
                </c:pt>
                <c:pt idx="2">
                  <c:v>1772686.3</c:v>
                </c:pt>
                <c:pt idx="3">
                  <c:v>1621290.0500000003</c:v>
                </c:pt>
              </c:numCache>
            </c:numRef>
          </c:val>
          <c:extLst>
            <c:ext xmlns:c16="http://schemas.microsoft.com/office/drawing/2014/chart" uri="{C3380CC4-5D6E-409C-BE32-E72D297353CC}">
              <c16:uniqueId val="{00000000-B775-495D-A268-D03CAC08D20F}"/>
            </c:ext>
          </c:extLst>
        </c:ser>
        <c:dLbls>
          <c:showLegendKey val="0"/>
          <c:showVal val="0"/>
          <c:showCatName val="0"/>
          <c:showSerName val="0"/>
          <c:showPercent val="0"/>
          <c:showBubbleSize val="0"/>
        </c:dLbls>
        <c:gapWidth val="219"/>
        <c:overlap val="-27"/>
        <c:axId val="210996831"/>
        <c:axId val="210997247"/>
      </c:barChart>
      <c:catAx>
        <c:axId val="2109968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7247"/>
        <c:crosses val="autoZero"/>
        <c:auto val="1"/>
        <c:lblAlgn val="ctr"/>
        <c:lblOffset val="100"/>
        <c:noMultiLvlLbl val="0"/>
      </c:catAx>
      <c:valAx>
        <c:axId val="210997247"/>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6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payment method!sales by payment method</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payment</a:t>
            </a:r>
            <a:r>
              <a:rPr lang="en-US" sz="1800" baseline="0">
                <a:solidFill>
                  <a:schemeClr val="tx2">
                    <a:lumMod val="40000"/>
                    <a:lumOff val="60000"/>
                  </a:schemeClr>
                </a:solidFill>
              </a:rPr>
              <a:t> method</a:t>
            </a:r>
            <a:endParaRPr lang="en-US" sz="1800">
              <a:solidFill>
                <a:schemeClr val="tx2">
                  <a:lumMod val="40000"/>
                  <a:lumOff val="60000"/>
                </a:schemeClr>
              </a:solidFill>
            </a:endParaRPr>
          </a:p>
        </c:rich>
      </c:tx>
      <c:layout>
        <c:manualLayout>
          <c:xMode val="edge"/>
          <c:yMode val="edge"/>
          <c:x val="0.32451110509985082"/>
          <c:y val="5.8975775354082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3">
              <a:lumMod val="20000"/>
              <a:lumOff val="80000"/>
            </a:schemeClr>
          </a:solidFill>
          <a:ln w="19050">
            <a:solidFill>
              <a:schemeClr val="lt1"/>
            </a:solidFill>
          </a:ln>
          <a:effectLst/>
        </c:spPr>
      </c:pivotFmt>
      <c:pivotFmt>
        <c:idx val="2"/>
        <c:spPr>
          <a:solidFill>
            <a:schemeClr val="tx2">
              <a:lumMod val="75000"/>
            </a:schemeClr>
          </a:solidFill>
          <a:ln w="19050">
            <a:solidFill>
              <a:schemeClr val="lt1"/>
            </a:solidFill>
          </a:ln>
          <a:effectLst/>
        </c:spPr>
      </c:pivotFmt>
      <c:pivotFmt>
        <c:idx val="3"/>
        <c:spPr>
          <a:solidFill>
            <a:schemeClr val="accent3">
              <a:lumMod val="20000"/>
              <a:lumOff val="80000"/>
            </a:schemeClr>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20000"/>
              <a:lumOff val="80000"/>
            </a:schemeClr>
          </a:solidFill>
          <a:ln w="19050">
            <a:solidFill>
              <a:schemeClr val="lt1"/>
            </a:solidFill>
          </a:ln>
          <a:effectLst/>
        </c:spPr>
        <c:dLbl>
          <c:idx val="0"/>
          <c:layout>
            <c:manualLayout>
              <c:x val="-0.14328674540682415"/>
              <c:y val="-6.729367162438028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sz="900" b="0" i="0" u="none" strike="noStrike" kern="1200" baseline="0">
                      <a:solidFill>
                        <a:schemeClr val="tx1">
                          <a:lumMod val="75000"/>
                          <a:lumOff val="25000"/>
                        </a:schemeClr>
                      </a:solidFill>
                      <a:latin typeface="+mn-lt"/>
                      <a:ea typeface="+mn-ea"/>
                      <a:cs typeface="+mn-cs"/>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8.033333333333334E-2"/>
                  <c:h val="8.789370078740158E-2"/>
                </c:manualLayout>
              </c15:layout>
              <c15:dlblFieldTable/>
              <c15:showDataLabelsRange val="0"/>
            </c:ext>
          </c:extLst>
        </c:dLbl>
      </c:pivotFmt>
      <c:pivotFmt>
        <c:idx val="5"/>
        <c:spPr>
          <a:solidFill>
            <a:schemeClr val="tx2">
              <a:lumMod val="75000"/>
            </a:schemeClr>
          </a:solidFill>
          <a:ln w="19050">
            <a:solidFill>
              <a:schemeClr val="lt1"/>
            </a:solidFill>
          </a:ln>
          <a:effectLst/>
        </c:spPr>
        <c:dLbl>
          <c:idx val="0"/>
          <c:layout>
            <c:manualLayout>
              <c:x val="0.11454571303587052"/>
              <c:y val="-2.71941528142315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4ACCCF-A767-40F2-AE98-E2DA9AE57BFE}" type="PERCENTAGE">
                  <a:rPr lang="en-US"/>
                  <a:pPr>
                    <a:defRPr sz="900" b="0" i="0" u="none" strike="noStrike" kern="1200" baseline="0">
                      <a:solidFill>
                        <a:schemeClr val="tx1">
                          <a:lumMod val="75000"/>
                          <a:lumOff val="25000"/>
                        </a:schemeClr>
                      </a:solidFill>
                      <a:latin typeface="+mn-lt"/>
                      <a:ea typeface="+mn-ea"/>
                      <a:cs typeface="+mn-cs"/>
                    </a:defRPr>
                  </a:pPr>
                  <a:t>[]</a:t>
                </a:fld>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3">
              <a:lumMod val="20000"/>
              <a:lumOff val="80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w="19050">
            <a:solidFill>
              <a:schemeClr val="lt1"/>
            </a:solidFill>
          </a:ln>
          <a:effectLst/>
        </c:spPr>
        <c:dLbl>
          <c:idx val="0"/>
          <c:layout>
            <c:manualLayout>
              <c:x val="-0.14328674540682415"/>
              <c:y val="-6.729367162438028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sz="900" b="0" i="0" u="none" strike="noStrike" kern="1200" baseline="0">
                      <a:solidFill>
                        <a:schemeClr val="tx1">
                          <a:lumMod val="75000"/>
                          <a:lumOff val="25000"/>
                        </a:schemeClr>
                      </a:solidFill>
                      <a:latin typeface="+mn-lt"/>
                      <a:ea typeface="+mn-ea"/>
                      <a:cs typeface="+mn-cs"/>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8.033333333333334E-2"/>
                  <c:h val="8.789370078740158E-2"/>
                </c:manualLayout>
              </c15:layout>
              <c15:dlblFieldTable/>
              <c15:showDataLabelsRange val="0"/>
            </c:ext>
          </c:extLst>
        </c:dLbl>
      </c:pivotFmt>
      <c:pivotFmt>
        <c:idx val="8"/>
        <c:spPr>
          <a:solidFill>
            <a:schemeClr val="tx2">
              <a:lumMod val="75000"/>
            </a:schemeClr>
          </a:solidFill>
          <a:ln w="19050">
            <a:solidFill>
              <a:schemeClr val="lt1"/>
            </a:solidFill>
          </a:ln>
          <a:effectLst/>
        </c:spPr>
        <c:dLbl>
          <c:idx val="0"/>
          <c:layout>
            <c:manualLayout>
              <c:x val="0.11454571303587052"/>
              <c:y val="-2.71941528142315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4ACCCF-A767-40F2-AE98-E2DA9AE57BFE}" type="PERCENTAGE">
                  <a:rPr lang="en-US"/>
                  <a:pPr>
                    <a:defRPr sz="900" b="0" i="0" u="none" strike="noStrike" kern="1200" baseline="0">
                      <a:solidFill>
                        <a:schemeClr val="tx1">
                          <a:lumMod val="75000"/>
                          <a:lumOff val="25000"/>
                        </a:schemeClr>
                      </a:solidFill>
                      <a:latin typeface="+mn-lt"/>
                      <a:ea typeface="+mn-ea"/>
                      <a:cs typeface="+mn-cs"/>
                    </a:defRPr>
                  </a:pPr>
                  <a:t>[]</a:t>
                </a:fld>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3">
              <a:lumMod val="20000"/>
              <a:lumOff val="80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20000"/>
              <a:lumOff val="80000"/>
            </a:schemeClr>
          </a:solidFill>
          <a:ln w="19050">
            <a:solidFill>
              <a:schemeClr val="lt1"/>
            </a:solidFill>
          </a:ln>
          <a:effectLst/>
        </c:spPr>
        <c:dLbl>
          <c:idx val="0"/>
          <c:layout>
            <c:manualLayout>
              <c:x val="-0.1075036468424848"/>
              <c:y val="-6.726817554644457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5.5188476800172526E-2"/>
                  <c:h val="8.7893875061438878E-2"/>
                </c:manualLayout>
              </c15:layout>
              <c15:dlblFieldTable/>
              <c15:showDataLabelsRange val="0"/>
            </c:ext>
          </c:extLst>
        </c:dLbl>
      </c:pivotFmt>
      <c:pivotFmt>
        <c:idx val="11"/>
        <c:spPr>
          <a:solidFill>
            <a:schemeClr val="tx2">
              <a:lumMod val="75000"/>
            </a:schemeClr>
          </a:solidFill>
          <a:ln w="19050">
            <a:solidFill>
              <a:schemeClr val="lt1"/>
            </a:solidFill>
          </a:ln>
          <a:effectLst/>
        </c:spPr>
        <c:dLbl>
          <c:idx val="0"/>
          <c:layout>
            <c:manualLayout>
              <c:x val="9.1335090072211897E-2"/>
              <c:y val="-3.691884737692977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4ACCCF-A767-40F2-AE98-E2DA9AE57BFE}" type="PERCENTAGE">
                  <a:rPr lang="en-US"/>
                  <a:pPr>
                    <a:defRPr/>
                  </a:pPr>
                  <a:t>[]</a:t>
                </a:fld>
                <a:endParaRP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by payment method'!$B$4</c:f>
              <c:strCache>
                <c:ptCount val="1"/>
                <c:pt idx="0">
                  <c:v>Total</c:v>
                </c:pt>
              </c:strCache>
            </c:strRef>
          </c:tx>
          <c:spPr>
            <a:solidFill>
              <a:schemeClr val="accent3">
                <a:lumMod val="20000"/>
                <a:lumOff val="80000"/>
              </a:schemeClr>
            </a:solidFill>
          </c:spPr>
          <c:dPt>
            <c:idx val="0"/>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1-42C7-4253-B8F5-156E0AB585A1}"/>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42C7-4253-B8F5-156E0AB585A1}"/>
              </c:ext>
            </c:extLst>
          </c:dPt>
          <c:dLbls>
            <c:dLbl>
              <c:idx val="0"/>
              <c:layout>
                <c:manualLayout>
                  <c:x val="-0.1075036468424848"/>
                  <c:y val="-6.7268175546444573E-4"/>
                </c:manualLayout>
              </c:layout>
              <c:tx>
                <c:rich>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fld id="{4073FF05-1F2C-455C-97F4-0147648A2D9D}" type="PERCENTAGE">
                      <a:rPr lang="en-US" sz="1050"/>
                      <a:pPr algn="ctr">
                        <a:defRPr/>
                      </a:pPr>
                      <a:t>[]</a:t>
                    </a:fld>
                    <a:endParaRPr/>
                  </a:p>
                </c:rich>
              </c:tx>
              <c:spPr>
                <a:solidFill>
                  <a:schemeClr val="bg1"/>
                </a:solid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5.5188476800172526E-2"/>
                      <c:h val="8.7893875061438878E-2"/>
                    </c:manualLayout>
                  </c15:layout>
                  <c15:dlblFieldTable/>
                  <c15:showDataLabelsRange val="0"/>
                </c:ext>
                <c:ext xmlns:c16="http://schemas.microsoft.com/office/drawing/2014/chart" uri="{C3380CC4-5D6E-409C-BE32-E72D297353CC}">
                  <c16:uniqueId val="{00000001-42C7-4253-B8F5-156E0AB585A1}"/>
                </c:ext>
              </c:extLst>
            </c:dLbl>
            <c:dLbl>
              <c:idx val="1"/>
              <c:layout>
                <c:manualLayout>
                  <c:x val="9.1335090072211897E-2"/>
                  <c:y val="-3.6918847376929773E-3"/>
                </c:manualLayout>
              </c:layout>
              <c:tx>
                <c:rich>
                  <a:bodyPr/>
                  <a:lstStyle/>
                  <a:p>
                    <a:fld id="{004ACCCF-A767-40F2-AE98-E2DA9AE57BFE}" type="PERCENTAGE">
                      <a:rPr lang="en-US"/>
                      <a:pPr/>
                      <a:t>[]</a:t>
                    </a:fld>
                    <a:endParaRP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2C7-4253-B8F5-156E0AB585A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payment method'!$A$5:$A$7</c:f>
              <c:strCache>
                <c:ptCount val="2"/>
                <c:pt idx="0">
                  <c:v>Card</c:v>
                </c:pt>
                <c:pt idx="1">
                  <c:v>Cash</c:v>
                </c:pt>
              </c:strCache>
            </c:strRef>
          </c:cat>
          <c:val>
            <c:numRef>
              <c:f>'sales by payment method'!$B$5:$B$7</c:f>
              <c:numCache>
                <c:formatCode>0</c:formatCode>
                <c:ptCount val="2"/>
                <c:pt idx="0">
                  <c:v>5108195.1000000015</c:v>
                </c:pt>
                <c:pt idx="1">
                  <c:v>5342351.3499999987</c:v>
                </c:pt>
              </c:numCache>
            </c:numRef>
          </c:val>
          <c:extLst>
            <c:ext xmlns:c16="http://schemas.microsoft.com/office/drawing/2014/chart" uri="{C3380CC4-5D6E-409C-BE32-E72D297353CC}">
              <c16:uniqueId val="{00000004-42C7-4253-B8F5-156E0AB585A1}"/>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category!sales by category</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2">
                    <a:lumMod val="40000"/>
                    <a:lumOff val="60000"/>
                  </a:schemeClr>
                </a:solidFill>
              </a:rPr>
              <a:t>sales by category</a:t>
            </a:r>
          </a:p>
        </c:rich>
      </c:tx>
      <c:layout>
        <c:manualLayout>
          <c:xMode val="edge"/>
          <c:yMode val="edge"/>
          <c:x val="0.3354304461942257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4">
              <a:lumMod val="60000"/>
              <a:lumOff val="40000"/>
            </a:schemeClr>
          </a:solidFill>
          <a:ln w="19050">
            <a:solidFill>
              <a:schemeClr val="lt1"/>
            </a:solidFill>
          </a:ln>
          <a:effectLst/>
        </c:spPr>
        <c:dLbl>
          <c:idx val="0"/>
          <c:layout>
            <c:manualLayout>
              <c:x val="0.10743525809273841"/>
              <c:y val="8.344196558763479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FAFAA0"/>
          </a:solidFill>
          <a:ln w="19050">
            <a:solidFill>
              <a:schemeClr val="lt1"/>
            </a:solidFill>
          </a:ln>
          <a:effectLst/>
        </c:spPr>
        <c:dLbl>
          <c:idx val="0"/>
          <c:layout>
            <c:manualLayout>
              <c:x val="-0.14327537182852154"/>
              <c:y val="-0.13792960775736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FAA0"/>
          </a:solidFill>
          <a:ln w="19050">
            <a:solidFill>
              <a:schemeClr val="lt1"/>
            </a:solidFill>
          </a:ln>
          <a:effectLst/>
        </c:spPr>
        <c:dLbl>
          <c:idx val="0"/>
          <c:layout>
            <c:manualLayout>
              <c:x val="-0.14327537182852154"/>
              <c:y val="-0.1379296077573636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6"/>
        <c:spPr>
          <a:solidFill>
            <a:schemeClr val="accent4">
              <a:lumMod val="60000"/>
              <a:lumOff val="40000"/>
            </a:schemeClr>
          </a:solidFill>
          <a:ln w="19050">
            <a:solidFill>
              <a:schemeClr val="lt1"/>
            </a:solidFill>
          </a:ln>
          <a:effectLst/>
        </c:spPr>
        <c:dLbl>
          <c:idx val="0"/>
          <c:layout>
            <c:manualLayout>
              <c:x val="0.10743525809273841"/>
              <c:y val="8.344196558763479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AFAA0"/>
          </a:solidFill>
          <a:ln w="19050">
            <a:solidFill>
              <a:schemeClr val="lt1"/>
            </a:solidFill>
          </a:ln>
          <a:effectLst/>
        </c:spPr>
        <c:dLbl>
          <c:idx val="0"/>
          <c:layout>
            <c:manualLayout>
              <c:x val="-0.11506318370120075"/>
              <c:y val="-0.1851003975341959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9"/>
        <c:spPr>
          <a:solidFill>
            <a:schemeClr val="accent4">
              <a:lumMod val="60000"/>
              <a:lumOff val="40000"/>
            </a:schemeClr>
          </a:solidFill>
          <a:ln w="19050">
            <a:solidFill>
              <a:schemeClr val="lt1"/>
            </a:solidFill>
          </a:ln>
          <a:effectLst/>
        </c:spPr>
        <c:dLbl>
          <c:idx val="0"/>
          <c:layout>
            <c:manualLayout>
              <c:x val="9.0073876511582329E-2"/>
              <c:y val="0.11174451138727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sz="900" b="0" i="0" u="none" strike="noStrike" kern="1200" baseline="0">
                      <a:solidFill>
                        <a:schemeClr val="tx1">
                          <a:lumMod val="75000"/>
                          <a:lumOff val="25000"/>
                        </a:schemeClr>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AFAA0"/>
          </a:solidFill>
          <a:ln w="19050">
            <a:solidFill>
              <a:schemeClr val="lt1"/>
            </a:solidFill>
          </a:ln>
          <a:effectLst/>
        </c:spPr>
        <c:dLbl>
          <c:idx val="0"/>
          <c:layout>
            <c:manualLayout>
              <c:x val="-0.11506318370120075"/>
              <c:y val="-0.1851003975341959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Lst>
        </c:dLbl>
      </c:pivotFmt>
      <c:pivotFmt>
        <c:idx val="12"/>
        <c:spPr>
          <a:solidFill>
            <a:schemeClr val="accent4">
              <a:lumMod val="60000"/>
              <a:lumOff val="40000"/>
            </a:schemeClr>
          </a:solidFill>
          <a:ln w="19050">
            <a:solidFill>
              <a:schemeClr val="lt1"/>
            </a:solidFill>
          </a:ln>
          <a:effectLst/>
        </c:spPr>
        <c:dLbl>
          <c:idx val="0"/>
          <c:layout>
            <c:manualLayout>
              <c:x val="9.0073876511582329E-2"/>
              <c:y val="0.111744511387276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0DAA6B5-7B46-4B2F-9756-6F80CFEEAAA6}" type="PERCENTAGE">
                  <a:rPr lang="en-US" sz="1050"/>
                  <a:pPr>
                    <a:defRPr/>
                  </a:pPr>
                  <a:t>[]</a:t>
                </a:fld>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'sales by category'!$B$4</c:f>
              <c:strCache>
                <c:ptCount val="1"/>
                <c:pt idx="0">
                  <c:v>Total</c:v>
                </c:pt>
              </c:strCache>
            </c:strRef>
          </c:tx>
          <c:dPt>
            <c:idx val="0"/>
            <c:bubble3D val="0"/>
            <c:spPr>
              <a:solidFill>
                <a:srgbClr val="FAFAA0"/>
              </a:solidFill>
              <a:ln w="19050">
                <a:solidFill>
                  <a:schemeClr val="lt1"/>
                </a:solidFill>
              </a:ln>
              <a:effectLst/>
            </c:spPr>
            <c:extLst>
              <c:ext xmlns:c16="http://schemas.microsoft.com/office/drawing/2014/chart" uri="{C3380CC4-5D6E-409C-BE32-E72D297353CC}">
                <c16:uniqueId val="{00000001-370C-4672-AA71-2873528AB43D}"/>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370C-4672-AA71-2873528AB43D}"/>
              </c:ext>
            </c:extLst>
          </c:dPt>
          <c:dLbls>
            <c:dLbl>
              <c:idx val="0"/>
              <c:layout>
                <c:manualLayout>
                  <c:x val="-0.11506318370120075"/>
                  <c:y val="-0.1851003975341959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AD0FB95-0106-440E-9C08-1C7D77EB8E3C}" type="PERCENTAGE">
                      <a:rPr lang="en-US" sz="1050"/>
                      <a:pPr>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15:layout>
                    <c:manualLayout>
                      <c:w val="9.8763998250218726E-2"/>
                      <c:h val="0.10641221930592007"/>
                    </c:manualLayout>
                  </c15:layout>
                  <c15:dlblFieldTable/>
                  <c15:showDataLabelsRange val="0"/>
                </c:ext>
                <c:ext xmlns:c16="http://schemas.microsoft.com/office/drawing/2014/chart" uri="{C3380CC4-5D6E-409C-BE32-E72D297353CC}">
                  <c16:uniqueId val="{00000001-370C-4672-AA71-2873528AB43D}"/>
                </c:ext>
              </c:extLst>
            </c:dLbl>
            <c:dLbl>
              <c:idx val="1"/>
              <c:layout>
                <c:manualLayout>
                  <c:x val="9.0073876511582329E-2"/>
                  <c:y val="0.1117445113872766"/>
                </c:manualLayout>
              </c:layout>
              <c:tx>
                <c:rich>
                  <a:bodyPr/>
                  <a:lstStyle/>
                  <a:p>
                    <a:fld id="{50DAA6B5-7B46-4B2F-9756-6F80CFEEAAA6}" type="PERCENTAGE">
                      <a:rPr lang="en-US" sz="1050"/>
                      <a:pPr/>
                      <a:t>[]</a:t>
                    </a:fld>
                    <a:endParaRP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70C-4672-AA71-2873528AB4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category'!$A$5:$A$7</c:f>
              <c:strCache>
                <c:ptCount val="2"/>
                <c:pt idx="0">
                  <c:v>Electronics</c:v>
                </c:pt>
                <c:pt idx="1">
                  <c:v>Furniture</c:v>
                </c:pt>
              </c:strCache>
            </c:strRef>
          </c:cat>
          <c:val>
            <c:numRef>
              <c:f>'sales by category'!$B$5:$B$7</c:f>
              <c:numCache>
                <c:formatCode>0</c:formatCode>
                <c:ptCount val="2"/>
                <c:pt idx="0">
                  <c:v>6687131.3500000006</c:v>
                </c:pt>
                <c:pt idx="1">
                  <c:v>3763415.0999999996</c:v>
                </c:pt>
              </c:numCache>
            </c:numRef>
          </c:val>
          <c:extLst>
            <c:ext xmlns:c16="http://schemas.microsoft.com/office/drawing/2014/chart" uri="{C3380CC4-5D6E-409C-BE32-E72D297353CC}">
              <c16:uniqueId val="{00000004-370C-4672-AA71-2873528AB43D}"/>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1.xlsx]sales by salesperson!sales by salesperson</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sales by salesperson</a:t>
            </a:r>
          </a:p>
        </c:rich>
      </c:tx>
      <c:layout>
        <c:manualLayout>
          <c:xMode val="edge"/>
          <c:yMode val="edge"/>
          <c:x val="0.39534739785597067"/>
          <c:y val="0.105558990383012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2060"/>
          </a:solidFill>
          <a:ln>
            <a:noFill/>
          </a:ln>
          <a:effectLst/>
        </c:spPr>
      </c:pivotFmt>
      <c:pivotFmt>
        <c:idx val="1"/>
        <c:spPr>
          <a:solidFill>
            <a:srgbClr val="002060"/>
          </a:solidFill>
          <a:ln>
            <a:noFill/>
          </a:ln>
          <a:effectLst/>
        </c:spPr>
      </c:pivotFmt>
      <c:pivotFmt>
        <c:idx val="2"/>
        <c:spPr>
          <a:solidFill>
            <a:srgbClr val="002060"/>
          </a:solidFill>
          <a:ln>
            <a:noFill/>
          </a:ln>
          <a:effectLst/>
        </c:spPr>
        <c:marker>
          <c:symbol val="none"/>
        </c:marke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4081364829397"/>
          <c:y val="0.27254410906969961"/>
          <c:w val="0.71447003499562556"/>
          <c:h val="0.53774387576552929"/>
        </c:manualLayout>
      </c:layout>
      <c:barChart>
        <c:barDir val="bar"/>
        <c:grouping val="clustered"/>
        <c:varyColors val="0"/>
        <c:ser>
          <c:idx val="0"/>
          <c:order val="0"/>
          <c:tx>
            <c:strRef>
              <c:f>'sales by salesperson'!$B$4</c:f>
              <c:strCache>
                <c:ptCount val="1"/>
                <c:pt idx="0">
                  <c:v>Total</c:v>
                </c:pt>
              </c:strCache>
            </c:strRef>
          </c:tx>
          <c:spPr>
            <a:solidFill>
              <a:srgbClr val="002060"/>
            </a:solidFill>
            <a:ln>
              <a:noFill/>
            </a:ln>
            <a:effectLst/>
          </c:spPr>
          <c:invertIfNegative val="0"/>
          <c:cat>
            <c:strRef>
              <c:f>'sales by salesperson'!$A$5:$A$8</c:f>
              <c:strCache>
                <c:ptCount val="3"/>
                <c:pt idx="0">
                  <c:v>Ahmed</c:v>
                </c:pt>
                <c:pt idx="1">
                  <c:v>Mona</c:v>
                </c:pt>
                <c:pt idx="2">
                  <c:v>Youssef</c:v>
                </c:pt>
              </c:strCache>
            </c:strRef>
          </c:cat>
          <c:val>
            <c:numRef>
              <c:f>'sales by salesperson'!$B$5:$B$8</c:f>
              <c:numCache>
                <c:formatCode>0</c:formatCode>
                <c:ptCount val="3"/>
                <c:pt idx="0">
                  <c:v>3666801.2</c:v>
                </c:pt>
                <c:pt idx="1">
                  <c:v>3071148.8999999994</c:v>
                </c:pt>
                <c:pt idx="2">
                  <c:v>3712596.3500000006</c:v>
                </c:pt>
              </c:numCache>
            </c:numRef>
          </c:val>
          <c:extLst>
            <c:ext xmlns:c16="http://schemas.microsoft.com/office/drawing/2014/chart" uri="{C3380CC4-5D6E-409C-BE32-E72D297353CC}">
              <c16:uniqueId val="{00000000-43AB-4E92-82A8-9EF0E3CE40D4}"/>
            </c:ext>
          </c:extLst>
        </c:ser>
        <c:dLbls>
          <c:showLegendKey val="0"/>
          <c:showVal val="0"/>
          <c:showCatName val="0"/>
          <c:showSerName val="0"/>
          <c:showPercent val="0"/>
          <c:showBubbleSize val="0"/>
        </c:dLbls>
        <c:gapWidth val="219"/>
        <c:axId val="211007231"/>
        <c:axId val="210988095"/>
      </c:barChart>
      <c:catAx>
        <c:axId val="21100723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8095"/>
        <c:crosses val="autoZero"/>
        <c:auto val="1"/>
        <c:lblAlgn val="ctr"/>
        <c:lblOffset val="100"/>
        <c:noMultiLvlLbl val="0"/>
      </c:catAx>
      <c:valAx>
        <c:axId val="210988095"/>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10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1.xlsx]monthly sales!monthly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monthly sales</a:t>
            </a:r>
          </a:p>
        </c:rich>
      </c:tx>
      <c:layout>
        <c:manualLayout>
          <c:xMode val="edge"/>
          <c:yMode val="edge"/>
          <c:x val="0.34134011373578305"/>
          <c:y val="4.9905220180810735E-2"/>
        </c:manualLayout>
      </c:layout>
      <c:overlay val="0"/>
      <c:spPr>
        <a:noFill/>
        <a:ln>
          <a:noFill/>
        </a:ln>
        <a:effectLst/>
      </c:sp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pivotFmt>
      <c:pivotFmt>
        <c:idx val="2"/>
        <c:spPr>
          <a:solidFill>
            <a:srgbClr val="002060"/>
          </a:solidFill>
          <a:ln>
            <a:noFill/>
          </a:ln>
          <a:effectLst/>
        </c:spPr>
        <c:marker>
          <c:symbol val="none"/>
        </c:marker>
      </c:pivotFmt>
      <c:pivotFmt>
        <c:idx val="3"/>
        <c:spPr>
          <a:solidFill>
            <a:srgbClr val="002060"/>
          </a:solidFill>
          <a:ln>
            <a:solidFill>
              <a:srgbClr val="002060"/>
            </a:solidFill>
          </a:ln>
          <a:effectLst/>
        </c:spPr>
        <c:marker>
          <c:symbol val="none"/>
        </c:marker>
      </c:pivotFmt>
      <c:pivotFmt>
        <c:idx val="4"/>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'monthly sales'!$B$4</c:f>
              <c:strCache>
                <c:ptCount val="1"/>
                <c:pt idx="0">
                  <c:v>Total</c:v>
                </c:pt>
              </c:strCache>
            </c:strRef>
          </c:tx>
          <c:marker>
            <c:symbol val="none"/>
          </c:marker>
          <c:cat>
            <c:strRef>
              <c:f>'monthly sales'!$A$5:$A$9</c:f>
              <c:strCache>
                <c:ptCount val="4"/>
                <c:pt idx="0">
                  <c:v>January</c:v>
                </c:pt>
                <c:pt idx="1">
                  <c:v>February</c:v>
                </c:pt>
                <c:pt idx="2">
                  <c:v>March</c:v>
                </c:pt>
                <c:pt idx="3">
                  <c:v>April</c:v>
                </c:pt>
              </c:strCache>
            </c:strRef>
          </c:cat>
          <c:val>
            <c:numRef>
              <c:f>'monthly sales'!$B$5:$B$9</c:f>
              <c:numCache>
                <c:formatCode>General</c:formatCode>
                <c:ptCount val="4"/>
                <c:pt idx="0">
                  <c:v>3595995.5999999992</c:v>
                </c:pt>
                <c:pt idx="1">
                  <c:v>2804513.65</c:v>
                </c:pt>
                <c:pt idx="2">
                  <c:v>3859520.1999999997</c:v>
                </c:pt>
                <c:pt idx="3">
                  <c:v>190517</c:v>
                </c:pt>
              </c:numCache>
            </c:numRef>
          </c:val>
          <c:smooth val="0"/>
          <c:extLst>
            <c:ext xmlns:c16="http://schemas.microsoft.com/office/drawing/2014/chart" uri="{C3380CC4-5D6E-409C-BE32-E72D297353CC}">
              <c16:uniqueId val="{00000002-D1E3-4D3A-89BE-CC078AE3549F}"/>
            </c:ext>
          </c:extLst>
        </c:ser>
        <c:dLbls>
          <c:showLegendKey val="0"/>
          <c:showVal val="0"/>
          <c:showCatName val="0"/>
          <c:showSerName val="0"/>
          <c:showPercent val="0"/>
          <c:showBubbleSize val="0"/>
        </c:dLbls>
        <c:smooth val="0"/>
        <c:axId val="210994751"/>
        <c:axId val="210988927"/>
      </c:lineChart>
      <c:catAx>
        <c:axId val="2109947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8927"/>
        <c:crosses val="autoZero"/>
        <c:auto val="1"/>
        <c:lblAlgn val="ctr"/>
        <c:lblOffset val="100"/>
        <c:noMultiLvlLbl val="0"/>
      </c:catAx>
      <c:valAx>
        <c:axId val="21098892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4751"/>
        <c:crosses val="autoZero"/>
        <c:crossBetween val="between"/>
      </c:valAx>
    </c:plotArea>
    <c:plotVisOnly val="1"/>
    <c:dispBlanksAs val="gap"/>
    <c:showDLblsOverMax val="0"/>
  </c:chart>
  <c:spPr>
    <a:ln>
      <a:solidFill>
        <a:schemeClr val="bg1">
          <a:lumMod val="85000"/>
        </a:schemeClr>
      </a:solidFill>
    </a:ln>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[Retail_Sales_cleaned_dates_fixed 1.xlsx]quantity by product!quantity by product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1">
                    <a:lumMod val="60000"/>
                    <a:lumOff val="40000"/>
                  </a:schemeClr>
                </a:solidFill>
              </a:rPr>
              <a:t>quantity</a:t>
            </a:r>
            <a:r>
              <a:rPr lang="en-US" sz="1800" baseline="0">
                <a:solidFill>
                  <a:schemeClr val="accent1">
                    <a:lumMod val="60000"/>
                    <a:lumOff val="40000"/>
                  </a:schemeClr>
                </a:solidFill>
              </a:rPr>
              <a:t> by product</a:t>
            </a:r>
            <a:endParaRPr lang="en-US" sz="1800">
              <a:solidFill>
                <a:schemeClr val="accent1">
                  <a:lumMod val="60000"/>
                  <a:lumOff val="40000"/>
                </a:schemeClr>
              </a:solidFill>
            </a:endParaRPr>
          </a:p>
        </c:rich>
      </c:tx>
      <c:layout>
        <c:manualLayout>
          <c:xMode val="edge"/>
          <c:yMode val="edge"/>
          <c:x val="0.341340113735783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rgbClr val="002060"/>
          </a:solidFill>
          <a:ln>
            <a:noFill/>
          </a:ln>
          <a:effectLst/>
        </c:spPr>
        <c:marker>
          <c:symbol val="none"/>
        </c:marker>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by product'!$B$4</c:f>
              <c:strCache>
                <c:ptCount val="1"/>
                <c:pt idx="0">
                  <c:v>Total</c:v>
                </c:pt>
              </c:strCache>
            </c:strRef>
          </c:tx>
          <c:spPr>
            <a:solidFill>
              <a:srgbClr val="002060"/>
            </a:solidFill>
            <a:ln>
              <a:noFill/>
            </a:ln>
            <a:effectLst/>
          </c:spPr>
          <c:invertIfNegative val="0"/>
          <c:cat>
            <c:strRef>
              <c:f>'quantity by product'!$A$5:$A$13</c:f>
              <c:strCache>
                <c:ptCount val="8"/>
                <c:pt idx="0">
                  <c:v>Chair</c:v>
                </c:pt>
                <c:pt idx="1">
                  <c:v>Desk</c:v>
                </c:pt>
                <c:pt idx="2">
                  <c:v>Keyboard</c:v>
                </c:pt>
                <c:pt idx="3">
                  <c:v>Laptop</c:v>
                </c:pt>
                <c:pt idx="4">
                  <c:v>Monitor</c:v>
                </c:pt>
                <c:pt idx="5">
                  <c:v>Mouse</c:v>
                </c:pt>
                <c:pt idx="6">
                  <c:v>Phone</c:v>
                </c:pt>
                <c:pt idx="7">
                  <c:v>Sofa</c:v>
                </c:pt>
              </c:strCache>
            </c:strRef>
          </c:cat>
          <c:val>
            <c:numRef>
              <c:f>'quantity by product'!$B$5:$B$13</c:f>
              <c:numCache>
                <c:formatCode>General</c:formatCode>
                <c:ptCount val="8"/>
                <c:pt idx="0">
                  <c:v>286</c:v>
                </c:pt>
                <c:pt idx="1">
                  <c:v>300</c:v>
                </c:pt>
                <c:pt idx="2">
                  <c:v>283</c:v>
                </c:pt>
                <c:pt idx="3">
                  <c:v>185</c:v>
                </c:pt>
                <c:pt idx="4">
                  <c:v>228</c:v>
                </c:pt>
                <c:pt idx="5">
                  <c:v>238</c:v>
                </c:pt>
                <c:pt idx="6">
                  <c:v>287</c:v>
                </c:pt>
                <c:pt idx="7">
                  <c:v>269</c:v>
                </c:pt>
              </c:numCache>
            </c:numRef>
          </c:val>
          <c:extLst>
            <c:ext xmlns:c16="http://schemas.microsoft.com/office/drawing/2014/chart" uri="{C3380CC4-5D6E-409C-BE32-E72D297353CC}">
              <c16:uniqueId val="{00000000-9603-48E0-8B05-A49D1D29AEFD}"/>
            </c:ext>
          </c:extLst>
        </c:ser>
        <c:dLbls>
          <c:showLegendKey val="0"/>
          <c:showVal val="0"/>
          <c:showCatName val="0"/>
          <c:showSerName val="0"/>
          <c:showPercent val="0"/>
          <c:showBubbleSize val="0"/>
        </c:dLbls>
        <c:gapWidth val="219"/>
        <c:overlap val="-27"/>
        <c:axId val="210994751"/>
        <c:axId val="210988927"/>
      </c:barChart>
      <c:catAx>
        <c:axId val="21099475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88927"/>
        <c:crosses val="autoZero"/>
        <c:auto val="1"/>
        <c:lblAlgn val="ctr"/>
        <c:lblOffset val="100"/>
        <c:noMultiLvlLbl val="0"/>
      </c:catAx>
      <c:valAx>
        <c:axId val="21098892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099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495300</xdr:colOff>
      <xdr:row>4</xdr:row>
      <xdr:rowOff>47625</xdr:rowOff>
    </xdr:from>
    <xdr:to>
      <xdr:col>21</xdr:col>
      <xdr:colOff>495300</xdr:colOff>
      <xdr:row>18</xdr:row>
      <xdr:rowOff>19050</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79621BA9-95EE-40FB-F90F-42EB0245521B}"/>
                </a:ext>
                <a:ext uri="{147F2762-F138-4A5C-976F-8EAC2B608ADB}">
                  <a16:predDERef xmlns:a16="http://schemas.microsoft.com/office/drawing/2014/main" pred="{BD7CF163-92C9-2250-AB39-C452816D7852}"/>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229350" y="10001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2</xdr:col>
      <xdr:colOff>923925</xdr:colOff>
      <xdr:row>1</xdr:row>
      <xdr:rowOff>142875</xdr:rowOff>
    </xdr:from>
    <xdr:to>
      <xdr:col>11</xdr:col>
      <xdr:colOff>542925</xdr:colOff>
      <xdr:row>20</xdr:row>
      <xdr:rowOff>38100</xdr:rowOff>
    </xdr:to>
    <xdr:graphicFrame macro="">
      <xdr:nvGraphicFramePr>
        <xdr:cNvPr id="2" name="Chart 1">
          <a:extLst>
            <a:ext uri="{FF2B5EF4-FFF2-40B4-BE49-F238E27FC236}">
              <a16:creationId xmlns:a16="http://schemas.microsoft.com/office/drawing/2014/main" id="{00000000-0008-0000-0100-000002000000}"/>
            </a:ext>
            <a:ext uri="{147F2762-F138-4A5C-976F-8EAC2B608ADB}">
              <a16:predDERef xmlns:a16="http://schemas.microsoft.com/office/drawing/2014/main" pred="{79621BA9-95EE-40FB-F90F-42EB02455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171450</xdr:colOff>
      <xdr:row>2</xdr:row>
      <xdr:rowOff>0</xdr:rowOff>
    </xdr:from>
    <xdr:to>
      <xdr:col>11</xdr:col>
      <xdr:colOff>57150</xdr:colOff>
      <xdr:row>17</xdr:row>
      <xdr:rowOff>28575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4</xdr:row>
      <xdr:rowOff>95250</xdr:rowOff>
    </xdr:from>
    <xdr:to>
      <xdr:col>9</xdr:col>
      <xdr:colOff>304800</xdr:colOff>
      <xdr:row>19</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619125</xdr:colOff>
      <xdr:row>4</xdr:row>
      <xdr:rowOff>123825</xdr:rowOff>
    </xdr:from>
    <xdr:to>
      <xdr:col>11</xdr:col>
      <xdr:colOff>390525</xdr:colOff>
      <xdr:row>19</xdr:row>
      <xdr:rowOff>152400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590549</xdr:colOff>
      <xdr:row>1</xdr:row>
      <xdr:rowOff>76200</xdr:rowOff>
    </xdr:from>
    <xdr:to>
      <xdr:col>11</xdr:col>
      <xdr:colOff>333374</xdr:colOff>
      <xdr:row>16</xdr:row>
      <xdr:rowOff>104775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495300</xdr:colOff>
      <xdr:row>3</xdr:row>
      <xdr:rowOff>0</xdr:rowOff>
    </xdr:from>
    <xdr:to>
      <xdr:col>11</xdr:col>
      <xdr:colOff>123825</xdr:colOff>
      <xdr:row>18</xdr:row>
      <xdr:rowOff>28575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28575</xdr:colOff>
      <xdr:row>0</xdr:row>
      <xdr:rowOff>161925</xdr:rowOff>
    </xdr:from>
    <xdr:to>
      <xdr:col>11</xdr:col>
      <xdr:colOff>352425</xdr:colOff>
      <xdr:row>17</xdr:row>
      <xdr:rowOff>123825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657225</xdr:colOff>
      <xdr:row>15</xdr:row>
      <xdr:rowOff>47625</xdr:rowOff>
    </xdr:from>
    <xdr:to>
      <xdr:col>10</xdr:col>
      <xdr:colOff>257175</xdr:colOff>
      <xdr:row>33</xdr:row>
      <xdr:rowOff>123825</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485774</xdr:colOff>
      <xdr:row>15</xdr:row>
      <xdr:rowOff>47625</xdr:rowOff>
    </xdr:from>
    <xdr:to>
      <xdr:col>20</xdr:col>
      <xdr:colOff>304799</xdr:colOff>
      <xdr:row>33</xdr:row>
      <xdr:rowOff>133350</xdr:rowOff>
    </xdr:to>
    <xdr:graphicFrame macro="">
      <xdr:nvGraphicFramePr>
        <xdr:cNvPr id="5" name="Chart 4">
          <a:extLst>
            <a:ext uri="{FF2B5EF4-FFF2-40B4-BE49-F238E27FC236}">
              <a16:creationId xmlns:a16="http://schemas.microsoft.com/office/drawing/2014/main" id="{00000000-0008-0000-0800-000005000000}"/>
            </a:ext>
            <a:ext uri="{147F2762-F138-4A5C-976F-8EAC2B608ADB}">
              <a16:predDERef xmlns:a16="http://schemas.microsoft.com/office/drawing/2014/main" pre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619124</xdr:colOff>
      <xdr:row>51</xdr:row>
      <xdr:rowOff>19050</xdr:rowOff>
    </xdr:from>
    <xdr:to>
      <xdr:col>20</xdr:col>
      <xdr:colOff>323849</xdr:colOff>
      <xdr:row>66</xdr:row>
      <xdr:rowOff>57150</xdr:rowOff>
    </xdr:to>
    <xdr:graphicFrame macro="">
      <xdr:nvGraphicFramePr>
        <xdr:cNvPr id="6" name="Chart 5">
          <a:extLst>
            <a:ext uri="{FF2B5EF4-FFF2-40B4-BE49-F238E27FC236}">
              <a16:creationId xmlns:a16="http://schemas.microsoft.com/office/drawing/2014/main" id="{00000000-0008-0000-0800-000006000000}"/>
            </a:ext>
            <a:ext uri="{147F2762-F138-4A5C-976F-8EAC2B608ADB}">
              <a16:predDERef xmlns:a16="http://schemas.microsoft.com/office/drawing/2014/main" pre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676274</xdr:colOff>
      <xdr:row>51</xdr:row>
      <xdr:rowOff>19050</xdr:rowOff>
    </xdr:from>
    <xdr:to>
      <xdr:col>10</xdr:col>
      <xdr:colOff>304799</xdr:colOff>
      <xdr:row>66</xdr:row>
      <xdr:rowOff>47625</xdr:rowOff>
    </xdr:to>
    <xdr:graphicFrame macro="">
      <xdr:nvGraphicFramePr>
        <xdr:cNvPr id="7" name="Chart 6">
          <a:extLst>
            <a:ext uri="{FF2B5EF4-FFF2-40B4-BE49-F238E27FC236}">
              <a16:creationId xmlns:a16="http://schemas.microsoft.com/office/drawing/2014/main" id="{00000000-0008-0000-0800-000007000000}"/>
            </a:ext>
            <a:ext uri="{147F2762-F138-4A5C-976F-8EAC2B608ADB}">
              <a16:predDERef xmlns:a16="http://schemas.microsoft.com/office/drawing/2014/main" pre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67</xdr:row>
      <xdr:rowOff>120111</xdr:rowOff>
    </xdr:from>
    <xdr:to>
      <xdr:col>20</xdr:col>
      <xdr:colOff>381000</xdr:colOff>
      <xdr:row>98</xdr:row>
      <xdr:rowOff>-1</xdr:rowOff>
    </xdr:to>
    <xdr:graphicFrame macro="">
      <xdr:nvGraphicFramePr>
        <xdr:cNvPr id="8" name="Chart 7">
          <a:extLst>
            <a:ext uri="{FF2B5EF4-FFF2-40B4-BE49-F238E27FC236}">
              <a16:creationId xmlns:a16="http://schemas.microsoft.com/office/drawing/2014/main" id="{00000000-0008-0000-0800-000008000000}"/>
            </a:ext>
            <a:ext uri="{147F2762-F138-4A5C-976F-8EAC2B608ADB}">
              <a16:predDERef xmlns:a16="http://schemas.microsoft.com/office/drawing/2014/main" pre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647700</xdr:colOff>
      <xdr:row>34</xdr:row>
      <xdr:rowOff>142875</xdr:rowOff>
    </xdr:from>
    <xdr:to>
      <xdr:col>10</xdr:col>
      <xdr:colOff>285750</xdr:colOff>
      <xdr:row>49</xdr:row>
      <xdr:rowOff>171450</xdr:rowOff>
    </xdr:to>
    <xdr:graphicFrame macro="">
      <xdr:nvGraphicFramePr>
        <xdr:cNvPr id="9" name="Chart 8">
          <a:extLst>
            <a:ext uri="{FF2B5EF4-FFF2-40B4-BE49-F238E27FC236}">
              <a16:creationId xmlns:a16="http://schemas.microsoft.com/office/drawing/2014/main" id="{00000000-0008-0000-0800-000009000000}"/>
            </a:ext>
            <a:ext uri="{147F2762-F138-4A5C-976F-8EAC2B608ADB}">
              <a16:predDERef xmlns:a16="http://schemas.microsoft.com/office/drawing/2014/main" pred="{00000000-0008-0000-0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428625</xdr:colOff>
      <xdr:row>7</xdr:row>
      <xdr:rowOff>152400</xdr:rowOff>
    </xdr:from>
    <xdr:ext cx="184731" cy="254557"/>
    <xdr:sp macro="" textlink="">
      <xdr:nvSpPr>
        <xdr:cNvPr id="14" name="TextBox 13">
          <a:extLst>
            <a:ext uri="{FF2B5EF4-FFF2-40B4-BE49-F238E27FC236}">
              <a16:creationId xmlns:a16="http://schemas.microsoft.com/office/drawing/2014/main" id="{00000000-0008-0000-0800-00000E000000}"/>
            </a:ext>
          </a:extLst>
        </xdr:cNvPr>
        <xdr:cNvSpPr txBox="1"/>
      </xdr:nvSpPr>
      <xdr:spPr>
        <a:xfrm>
          <a:off x="2486025" y="14192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EG" sz="1100"/>
        </a:p>
      </xdr:txBody>
    </xdr:sp>
    <xdr:clientData/>
  </xdr:oneCellAnchor>
  <xdr:twoCellAnchor>
    <xdr:from>
      <xdr:col>10</xdr:col>
      <xdr:colOff>533400</xdr:colOff>
      <xdr:row>34</xdr:row>
      <xdr:rowOff>114301</xdr:rowOff>
    </xdr:from>
    <xdr:to>
      <xdr:col>20</xdr:col>
      <xdr:colOff>285750</xdr:colOff>
      <xdr:row>49</xdr:row>
      <xdr:rowOff>171451</xdr:rowOff>
    </xdr:to>
    <xdr:graphicFrame macro="">
      <xdr:nvGraphicFramePr>
        <xdr:cNvPr id="29" name="Chart 28">
          <a:extLst>
            <a:ext uri="{FF2B5EF4-FFF2-40B4-BE49-F238E27FC236}">
              <a16:creationId xmlns:a16="http://schemas.microsoft.com/office/drawing/2014/main" id="{00000000-0008-0000-0800-00001D000000}"/>
            </a:ext>
            <a:ext uri="{147F2762-F138-4A5C-976F-8EAC2B608ADB}">
              <a16:predDERef xmlns:a16="http://schemas.microsoft.com/office/drawing/2014/main" pred="{00000000-0008-0000-08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180146</xdr:colOff>
      <xdr:row>3</xdr:row>
      <xdr:rowOff>130969</xdr:rowOff>
    </xdr:from>
    <xdr:to>
      <xdr:col>5</xdr:col>
      <xdr:colOff>333374</xdr:colOff>
      <xdr:row>7</xdr:row>
      <xdr:rowOff>71438</xdr:rowOff>
    </xdr:to>
    <xdr:sp macro="" textlink="">
      <xdr:nvSpPr>
        <xdr:cNvPr id="36" name="Rectangle 35">
          <a:extLst>
            <a:ext uri="{FF2B5EF4-FFF2-40B4-BE49-F238E27FC236}">
              <a16:creationId xmlns:a16="http://schemas.microsoft.com/office/drawing/2014/main" id="{00000000-0008-0000-0800-000024000000}"/>
            </a:ext>
          </a:extLst>
        </xdr:cNvPr>
        <xdr:cNvSpPr/>
      </xdr:nvSpPr>
      <xdr:spPr>
        <a:xfrm>
          <a:off x="2251834" y="666750"/>
          <a:ext cx="1534353" cy="654844"/>
        </a:xfrm>
        <a:prstGeom prst="rect">
          <a:avLst/>
        </a:prstGeom>
        <a:no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a:solidFill>
                <a:srgbClr val="002060"/>
              </a:solidFill>
            </a:rPr>
            <a:t>Total</a:t>
          </a:r>
          <a:r>
            <a:rPr lang="en-US" sz="1800" baseline="0">
              <a:solidFill>
                <a:srgbClr val="002060"/>
              </a:solidFill>
            </a:rPr>
            <a:t> Sales</a:t>
          </a:r>
        </a:p>
        <a:p>
          <a:pPr algn="ctr"/>
          <a:r>
            <a:rPr lang="ar-EG" sz="1100" b="1" i="0" u="none" strike="noStrike">
              <a:solidFill>
                <a:schemeClr val="tx1"/>
              </a:solidFill>
              <a:effectLst/>
              <a:latin typeface="+mn-lt"/>
              <a:ea typeface="+mn-ea"/>
              <a:cs typeface="+mn-cs"/>
            </a:rPr>
            <a:t>10450546.45</a:t>
          </a:r>
          <a:r>
            <a:rPr lang="ar-EG" sz="1600">
              <a:solidFill>
                <a:schemeClr val="tx1"/>
              </a:solidFill>
            </a:rPr>
            <a:t> </a:t>
          </a:r>
        </a:p>
      </xdr:txBody>
    </xdr:sp>
    <xdr:clientData/>
  </xdr:twoCellAnchor>
  <xdr:twoCellAnchor>
    <xdr:from>
      <xdr:col>5</xdr:col>
      <xdr:colOff>464345</xdr:colOff>
      <xdr:row>3</xdr:row>
      <xdr:rowOff>107156</xdr:rowOff>
    </xdr:from>
    <xdr:to>
      <xdr:col>7</xdr:col>
      <xdr:colOff>666750</xdr:colOff>
      <xdr:row>7</xdr:row>
      <xdr:rowOff>59531</xdr:rowOff>
    </xdr:to>
    <xdr:sp macro="" textlink="">
      <xdr:nvSpPr>
        <xdr:cNvPr id="37" name="Rectangle 36">
          <a:extLst>
            <a:ext uri="{FF2B5EF4-FFF2-40B4-BE49-F238E27FC236}">
              <a16:creationId xmlns:a16="http://schemas.microsoft.com/office/drawing/2014/main" id="{00000000-0008-0000-0800-000025000000}"/>
            </a:ext>
          </a:extLst>
        </xdr:cNvPr>
        <xdr:cNvSpPr/>
      </xdr:nvSpPr>
      <xdr:spPr>
        <a:xfrm>
          <a:off x="3917158" y="642937"/>
          <a:ext cx="1583530" cy="666750"/>
        </a:xfrm>
        <a:prstGeom prst="rect">
          <a:avLst/>
        </a:prstGeom>
        <a:no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a:solidFill>
                <a:srgbClr val="002060"/>
              </a:solidFill>
            </a:rPr>
            <a:t>Total</a:t>
          </a:r>
          <a:r>
            <a:rPr lang="en-US" sz="1800" baseline="0">
              <a:solidFill>
                <a:srgbClr val="002060"/>
              </a:solidFill>
            </a:rPr>
            <a:t> Order</a:t>
          </a:r>
        </a:p>
        <a:p>
          <a:pPr algn="ctr"/>
          <a:r>
            <a:rPr lang="en-US" sz="1400" b="1" baseline="0">
              <a:solidFill>
                <a:schemeClr val="tx1"/>
              </a:solidFill>
            </a:rPr>
            <a:t>369</a:t>
          </a:r>
          <a:endParaRPr lang="ar-EG" sz="1400" b="1">
            <a:solidFill>
              <a:schemeClr val="tx1"/>
            </a:solidFill>
          </a:endParaRPr>
        </a:p>
      </xdr:txBody>
    </xdr:sp>
    <xdr:clientData/>
  </xdr:twoCellAnchor>
  <xdr:twoCellAnchor>
    <xdr:from>
      <xdr:col>9</xdr:col>
      <xdr:colOff>46592</xdr:colOff>
      <xdr:row>3</xdr:row>
      <xdr:rowOff>97322</xdr:rowOff>
    </xdr:from>
    <xdr:to>
      <xdr:col>11</xdr:col>
      <xdr:colOff>297656</xdr:colOff>
      <xdr:row>7</xdr:row>
      <xdr:rowOff>95250</xdr:rowOff>
    </xdr:to>
    <xdr:sp macro="" textlink="">
      <xdr:nvSpPr>
        <xdr:cNvPr id="39" name="Rectangle 38">
          <a:extLst>
            <a:ext uri="{FF2B5EF4-FFF2-40B4-BE49-F238E27FC236}">
              <a16:creationId xmlns:a16="http://schemas.microsoft.com/office/drawing/2014/main" id="{00000000-0008-0000-0800-000027000000}"/>
            </a:ext>
          </a:extLst>
        </xdr:cNvPr>
        <xdr:cNvSpPr/>
      </xdr:nvSpPr>
      <xdr:spPr>
        <a:xfrm>
          <a:off x="5618717" y="633103"/>
          <a:ext cx="1632189" cy="712303"/>
        </a:xfrm>
        <a:prstGeom prst="rect">
          <a:avLst/>
        </a:prstGeom>
        <a:no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a:solidFill>
                <a:srgbClr val="002060"/>
              </a:solidFill>
            </a:rPr>
            <a:t>Total Quantity</a:t>
          </a:r>
        </a:p>
        <a:p>
          <a:pPr algn="ctr"/>
          <a:r>
            <a:rPr lang="ar-EG" sz="1100" b="1" i="0" u="none" strike="noStrike">
              <a:solidFill>
                <a:schemeClr val="tx1"/>
              </a:solidFill>
              <a:effectLst/>
              <a:latin typeface="+mn-lt"/>
              <a:ea typeface="+mn-ea"/>
              <a:cs typeface="+mn-cs"/>
            </a:rPr>
            <a:t>2076</a:t>
          </a:r>
          <a:r>
            <a:rPr lang="ar-EG" sz="1800">
              <a:solidFill>
                <a:schemeClr val="tx1"/>
              </a:solidFill>
            </a:rPr>
            <a:t> </a:t>
          </a:r>
        </a:p>
      </xdr:txBody>
    </xdr:sp>
    <xdr:clientData/>
  </xdr:twoCellAnchor>
  <xdr:twoCellAnchor>
    <xdr:from>
      <xdr:col>11</xdr:col>
      <xdr:colOff>392906</xdr:colOff>
      <xdr:row>3</xdr:row>
      <xdr:rowOff>83344</xdr:rowOff>
    </xdr:from>
    <xdr:to>
      <xdr:col>14</xdr:col>
      <xdr:colOff>154781</xdr:colOff>
      <xdr:row>7</xdr:row>
      <xdr:rowOff>107156</xdr:rowOff>
    </xdr:to>
    <xdr:sp macro="" textlink="">
      <xdr:nvSpPr>
        <xdr:cNvPr id="43" name="Rectangle 42">
          <a:extLst>
            <a:ext uri="{FF2B5EF4-FFF2-40B4-BE49-F238E27FC236}">
              <a16:creationId xmlns:a16="http://schemas.microsoft.com/office/drawing/2014/main" id="{00000000-0008-0000-0800-00002B000000}"/>
            </a:ext>
          </a:extLst>
        </xdr:cNvPr>
        <xdr:cNvSpPr/>
      </xdr:nvSpPr>
      <xdr:spPr>
        <a:xfrm>
          <a:off x="7346156" y="619125"/>
          <a:ext cx="1833563" cy="738187"/>
        </a:xfrm>
        <a:prstGeom prst="rect">
          <a:avLst/>
        </a:prstGeom>
        <a:no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a:solidFill>
                <a:srgbClr val="002060"/>
              </a:solidFill>
            </a:rPr>
            <a:t>Average</a:t>
          </a:r>
          <a:r>
            <a:rPr lang="en-US" sz="1800" baseline="0">
              <a:solidFill>
                <a:srgbClr val="002060"/>
              </a:solidFill>
            </a:rPr>
            <a:t> Order</a:t>
          </a:r>
        </a:p>
        <a:p>
          <a:pPr algn="ctr"/>
          <a:r>
            <a:rPr lang="ar-EG" sz="1100" b="0" i="0" u="none" strike="noStrike">
              <a:solidFill>
                <a:schemeClr val="tx1"/>
              </a:solidFill>
              <a:effectLst/>
              <a:latin typeface="+mn-lt"/>
              <a:ea typeface="+mn-ea"/>
              <a:cs typeface="+mn-cs"/>
            </a:rPr>
            <a:t>28321.26409</a:t>
          </a:r>
          <a:r>
            <a:rPr lang="ar-EG" sz="1800">
              <a:solidFill>
                <a:schemeClr val="tx1"/>
              </a:solidFill>
            </a:rPr>
            <a:t> </a:t>
          </a:r>
          <a:endParaRPr lang="en-US" sz="1800">
            <a:solidFill>
              <a:schemeClr val="tx1"/>
            </a:solidFill>
          </a:endParaRPr>
        </a:p>
      </xdr:txBody>
    </xdr:sp>
    <xdr:clientData/>
  </xdr:twoCellAnchor>
  <xdr:twoCellAnchor editAs="oneCell">
    <xdr:from>
      <xdr:col>22</xdr:col>
      <xdr:colOff>618259</xdr:colOff>
      <xdr:row>13</xdr:row>
      <xdr:rowOff>348095</xdr:rowOff>
    </xdr:from>
    <xdr:to>
      <xdr:col>26</xdr:col>
      <xdr:colOff>499110</xdr:colOff>
      <xdr:row>31</xdr:row>
      <xdr:rowOff>15066</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08827" y="2621106"/>
              <a:ext cx="2651760" cy="31089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12122</xdr:colOff>
      <xdr:row>13</xdr:row>
      <xdr:rowOff>369742</xdr:rowOff>
    </xdr:from>
    <xdr:to>
      <xdr:col>30</xdr:col>
      <xdr:colOff>585701</xdr:colOff>
      <xdr:row>31</xdr:row>
      <xdr:rowOff>36713</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066327" y="2642753"/>
              <a:ext cx="2651760" cy="31089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120361</xdr:colOff>
      <xdr:row>13</xdr:row>
      <xdr:rowOff>369742</xdr:rowOff>
    </xdr:from>
    <xdr:to>
      <xdr:col>35</xdr:col>
      <xdr:colOff>1212</xdr:colOff>
      <xdr:row>31</xdr:row>
      <xdr:rowOff>36713</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0945475" y="2642753"/>
              <a:ext cx="2651760" cy="31089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228599</xdr:colOff>
      <xdr:row>13</xdr:row>
      <xdr:rowOff>369744</xdr:rowOff>
    </xdr:from>
    <xdr:to>
      <xdr:col>39</xdr:col>
      <xdr:colOff>109450</xdr:colOff>
      <xdr:row>31</xdr:row>
      <xdr:rowOff>36715</xdr:rowOff>
    </xdr:to>
    <mc:AlternateContent xmlns:mc="http://schemas.openxmlformats.org/markup-compatibility/2006" xmlns:a14="http://schemas.microsoft.com/office/drawing/2010/main">
      <mc:Choice Requires="a14">
        <xdr:graphicFrame macro="">
          <xdr:nvGraphicFramePr>
            <xdr:cNvPr id="11" name="Salesperson 1">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3824622" y="2642755"/>
              <a:ext cx="2651760" cy="31089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0.026580902777" createdVersion="8" refreshedVersion="8" minRefreshableVersion="3" recordCount="369" xr:uid="{00000000-000A-0000-FFFF-FFFF02000000}">
  <cacheSource type="worksheet">
    <worksheetSource name="Main"/>
  </cacheSource>
  <cacheFields count="16">
    <cacheField name="Order ID" numFmtId="0">
      <sharedItems containsSemiMixedTypes="0" containsString="0" containsNumber="1" containsInteger="1" minValue="1001" maxValue="1400"/>
    </cacheField>
    <cacheField name="Order Date" numFmtId="14">
      <sharedItems containsSemiMixedTypes="0" containsNonDate="0" containsDate="1" containsString="0" minDate="2026-01-01T00:00:00" maxDate="2026-04-02T00:00:00" count="91">
        <d v="2026-02-17T00:00:00"/>
        <d v="2026-03-28T00:00:00"/>
        <d v="2026-02-06T00:00:00"/>
        <d v="2026-02-23T00:00:00"/>
        <d v="2026-03-26T00:00:00"/>
        <d v="2026-04-01T00:00:00"/>
        <d v="2026-03-30T00:00:00"/>
        <d v="2026-03-24T00:00:00"/>
        <d v="2026-03-11T00:00:00"/>
        <d v="2026-02-20T00:00:00"/>
        <d v="2026-02-12T00:00:00"/>
        <d v="2026-01-22T00:00:00"/>
        <d v="2026-02-14T00:00:00"/>
        <d v="2026-03-02T00:00:00"/>
        <d v="2026-03-20T00:00:00"/>
        <d v="2026-02-07T00:00:00"/>
        <d v="2026-02-15T00:00:00"/>
        <d v="2026-01-20T00:00:00"/>
        <d v="2026-01-25T00:00:00"/>
        <d v="2026-02-08T00:00:00"/>
        <d v="2026-01-18T00:00:00"/>
        <d v="2026-03-06T00:00:00"/>
        <d v="2026-03-19T00:00:00"/>
        <d v="2026-02-28T00:00:00"/>
        <d v="2026-02-10T00:00:00"/>
        <d v="2026-01-29T00:00:00"/>
        <d v="2026-01-09T00:00:00"/>
        <d v="2026-02-01T00:00:00"/>
        <d v="2026-01-26T00:00:00"/>
        <d v="2026-01-02T00:00:00"/>
        <d v="2026-03-17T00:00:00"/>
        <d v="2026-02-16T00:00:00"/>
        <d v="2026-02-04T00:00:00"/>
        <d v="2026-02-25T00:00:00"/>
        <d v="2026-01-01T00:00:00"/>
        <d v="2026-01-03T00:00:00"/>
        <d v="2026-01-13T00:00:00"/>
        <d v="2026-01-28T00:00:00"/>
        <d v="2026-01-24T00:00:00"/>
        <d v="2026-03-05T00:00:00"/>
        <d v="2026-03-15T00:00:00"/>
        <d v="2026-03-16T00:00:00"/>
        <d v="2026-03-25T00:00:00"/>
        <d v="2026-02-05T00:00:00"/>
        <d v="2026-01-10T00:00:00"/>
        <d v="2026-01-31T00:00:00"/>
        <d v="2026-03-03T00:00:00"/>
        <d v="2026-01-15T00:00:00"/>
        <d v="2026-03-01T00:00:00"/>
        <d v="2026-01-14T00:00:00"/>
        <d v="2026-01-11T00:00:00"/>
        <d v="2026-03-04T00:00:00"/>
        <d v="2026-01-16T00:00:00"/>
        <d v="2026-03-27T00:00:00"/>
        <d v="2026-03-14T00:00:00"/>
        <d v="2026-02-21T00:00:00"/>
        <d v="2026-03-21T00:00:00"/>
        <d v="2026-03-18T00:00:00"/>
        <d v="2026-02-22T00:00:00"/>
        <d v="2026-02-27T00:00:00"/>
        <d v="2026-01-07T00:00:00"/>
        <d v="2026-01-21T00:00:00"/>
        <d v="2026-02-13T00:00:00"/>
        <d v="2026-01-19T00:00:00"/>
        <d v="2026-01-23T00:00:00"/>
        <d v="2026-01-04T00:00:00"/>
        <d v="2026-03-22T00:00:00"/>
        <d v="2026-03-23T00:00:00"/>
        <d v="2026-01-12T00:00:00"/>
        <d v="2026-01-27T00:00:00"/>
        <d v="2026-03-09T00:00:00"/>
        <d v="2026-02-09T00:00:00"/>
        <d v="2026-03-08T00:00:00"/>
        <d v="2026-02-03T00:00:00"/>
        <d v="2026-02-18T00:00:00"/>
        <d v="2026-02-24T00:00:00"/>
        <d v="2026-03-13T00:00:00"/>
        <d v="2026-03-31T00:00:00"/>
        <d v="2026-02-11T00:00:00"/>
        <d v="2026-01-30T00:00:00"/>
        <d v="2026-02-19T00:00:00"/>
        <d v="2026-01-08T00:00:00"/>
        <d v="2026-03-07T00:00:00"/>
        <d v="2026-03-29T00:00:00"/>
        <d v="2026-03-10T00:00:00"/>
        <d v="2026-01-06T00:00:00"/>
        <d v="2026-03-12T00:00:00"/>
        <d v="2026-01-17T00:00:00"/>
        <d v="2026-02-02T00:00:00"/>
        <d v="2026-02-26T00:00:00"/>
        <d v="2026-01-05T00:00:00"/>
      </sharedItems>
    </cacheField>
    <cacheField name="Customer Name" numFmtId="0">
      <sharedItems count="12">
        <s v="Ali"/>
        <s v="Mahmoud"/>
        <s v="Reem"/>
        <s v="Mariam"/>
        <s v="Yara"/>
        <s v="Mona"/>
        <s v="Laila"/>
        <s v="Khaled"/>
        <s v="Sara"/>
        <s v="Nour"/>
        <s v="Omar"/>
        <s v="Ahmed"/>
      </sharedItems>
    </cacheField>
    <cacheField name="City" numFmtId="0">
      <sharedItems count="4">
        <s v="Cairo"/>
        <s v="Alexandria"/>
        <s v="Mansoura"/>
        <s v="Tanta"/>
      </sharedItems>
    </cacheField>
    <cacheField name="Product" numFmtId="0">
      <sharedItems count="8">
        <s v="Mouse"/>
        <s v="Keyboard"/>
        <s v="Sofa"/>
        <s v="Chair"/>
        <s v="Laptop"/>
        <s v="Phone"/>
        <s v="Desk"/>
        <s v="Monitor"/>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 maxValue="15445"/>
    </cacheField>
    <cacheField name="Discount %" numFmtId="0">
      <sharedItems containsSemiMixedTypes="0" containsString="0" containsNumber="1" containsInteger="1" minValue="0" maxValue="15"/>
    </cacheField>
    <cacheField name="Payment Method" numFmtId="0">
      <sharedItems count="2">
        <s v="Cash"/>
        <s v="Card"/>
      </sharedItems>
    </cacheField>
    <cacheField name="Salesperson" numFmtId="0">
      <sharedItems count="3">
        <s v="Mona"/>
        <s v="Youssef"/>
        <s v="Ahmed"/>
      </sharedItems>
    </cacheField>
    <cacheField name="Total Sales" numFmtId="0">
      <sharedItems containsSemiMixedTypes="0" containsString="0" containsNumber="1" containsInteger="1" minValue="10" maxValue="154210"/>
    </cacheField>
    <cacheField name="Discount Amount" numFmtId="0">
      <sharedItems containsSemiMixedTypes="0" containsString="0" containsNumber="1" minValue="0" maxValue="21871.5"/>
    </cacheField>
    <cacheField name="Net Sales" numFmtId="0">
      <sharedItems containsSemiMixedTypes="0" containsString="0" containsNumber="1" minValue="9" maxValue="146499.5"/>
    </cacheField>
    <cacheField name="Order Month" numFmtId="0">
      <sharedItems count="4">
        <s v="February"/>
        <s v="March"/>
        <s v="April"/>
        <s v="January"/>
      </sharedItems>
    </cacheField>
    <cacheField name="Order 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pivotCacheId="1135869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x v="0"/>
    <x v="0"/>
    <x v="0"/>
    <x v="0"/>
    <n v="5"/>
    <n v="930"/>
    <n v="0"/>
    <x v="0"/>
    <x v="0"/>
    <n v="4650"/>
    <n v="0"/>
    <n v="4650"/>
    <x v="0"/>
    <n v="2026"/>
  </r>
  <r>
    <n v="1002"/>
    <x v="1"/>
    <x v="1"/>
    <x v="0"/>
    <x v="1"/>
    <x v="0"/>
    <n v="6"/>
    <n v="1258"/>
    <n v="0"/>
    <x v="1"/>
    <x v="1"/>
    <n v="7548"/>
    <n v="0"/>
    <n v="7548"/>
    <x v="1"/>
    <n v="2026"/>
  </r>
  <r>
    <n v="1003"/>
    <x v="2"/>
    <x v="2"/>
    <x v="0"/>
    <x v="2"/>
    <x v="1"/>
    <n v="4"/>
    <n v="10096"/>
    <n v="15"/>
    <x v="0"/>
    <x v="1"/>
    <n v="40384"/>
    <n v="6057.5999999999995"/>
    <n v="34326.400000000001"/>
    <x v="0"/>
    <n v="2026"/>
  </r>
  <r>
    <n v="1004"/>
    <x v="3"/>
    <x v="2"/>
    <x v="0"/>
    <x v="1"/>
    <x v="0"/>
    <n v="8"/>
    <n v="648"/>
    <n v="15"/>
    <x v="0"/>
    <x v="2"/>
    <n v="5184"/>
    <n v="777.6"/>
    <n v="4406.3999999999996"/>
    <x v="0"/>
    <n v="2026"/>
  </r>
  <r>
    <n v="1005"/>
    <x v="4"/>
    <x v="3"/>
    <x v="1"/>
    <x v="1"/>
    <x v="0"/>
    <n v="8"/>
    <n v="1187"/>
    <n v="0"/>
    <x v="0"/>
    <x v="2"/>
    <n v="9496"/>
    <n v="0"/>
    <n v="9496"/>
    <x v="1"/>
    <n v="2026"/>
  </r>
  <r>
    <n v="1006"/>
    <x v="5"/>
    <x v="3"/>
    <x v="0"/>
    <x v="3"/>
    <x v="1"/>
    <n v="2"/>
    <n v="1334"/>
    <n v="0"/>
    <x v="1"/>
    <x v="0"/>
    <n v="2668"/>
    <n v="0"/>
    <n v="2668"/>
    <x v="2"/>
    <n v="2026"/>
  </r>
  <r>
    <n v="1007"/>
    <x v="6"/>
    <x v="1"/>
    <x v="1"/>
    <x v="1"/>
    <x v="0"/>
    <n v="2"/>
    <n v="1059"/>
    <n v="5"/>
    <x v="0"/>
    <x v="2"/>
    <n v="2118"/>
    <n v="105.9"/>
    <n v="2012.1"/>
    <x v="1"/>
    <n v="2026"/>
  </r>
  <r>
    <n v="1008"/>
    <x v="7"/>
    <x v="0"/>
    <x v="0"/>
    <x v="0"/>
    <x v="0"/>
    <n v="3"/>
    <n v="373"/>
    <n v="15"/>
    <x v="0"/>
    <x v="2"/>
    <n v="1119"/>
    <n v="167.85"/>
    <n v="951.15"/>
    <x v="1"/>
    <n v="2026"/>
  </r>
  <r>
    <n v="1009"/>
    <x v="8"/>
    <x v="4"/>
    <x v="1"/>
    <x v="3"/>
    <x v="1"/>
    <n v="3"/>
    <n v="1194"/>
    <n v="5"/>
    <x v="0"/>
    <x v="0"/>
    <n v="3582"/>
    <n v="179.10000000000002"/>
    <n v="3402.9"/>
    <x v="1"/>
    <n v="2026"/>
  </r>
  <r>
    <n v="1010"/>
    <x v="9"/>
    <x v="4"/>
    <x v="1"/>
    <x v="4"/>
    <x v="0"/>
    <n v="9"/>
    <n v="15040"/>
    <n v="0"/>
    <x v="0"/>
    <x v="1"/>
    <n v="135360"/>
    <n v="0"/>
    <n v="135360"/>
    <x v="0"/>
    <n v="2026"/>
  </r>
  <r>
    <n v="1012"/>
    <x v="10"/>
    <x v="5"/>
    <x v="1"/>
    <x v="5"/>
    <x v="0"/>
    <n v="1"/>
    <n v="8991"/>
    <n v="15"/>
    <x v="0"/>
    <x v="0"/>
    <n v="8991"/>
    <n v="1348.6499999999999"/>
    <n v="7642.35"/>
    <x v="0"/>
    <n v="2026"/>
  </r>
  <r>
    <n v="1015"/>
    <x v="11"/>
    <x v="5"/>
    <x v="0"/>
    <x v="5"/>
    <x v="0"/>
    <n v="4"/>
    <n v="9399"/>
    <n v="15"/>
    <x v="1"/>
    <x v="1"/>
    <n v="37596"/>
    <n v="5639.4"/>
    <n v="31956.6"/>
    <x v="3"/>
    <n v="2026"/>
  </r>
  <r>
    <n v="1016"/>
    <x v="12"/>
    <x v="6"/>
    <x v="2"/>
    <x v="2"/>
    <x v="1"/>
    <n v="5"/>
    <n v="9784"/>
    <n v="10"/>
    <x v="1"/>
    <x v="1"/>
    <n v="48920"/>
    <n v="4892"/>
    <n v="44028"/>
    <x v="0"/>
    <n v="2026"/>
  </r>
  <r>
    <n v="1017"/>
    <x v="9"/>
    <x v="0"/>
    <x v="0"/>
    <x v="2"/>
    <x v="1"/>
    <n v="1"/>
    <n v="10291"/>
    <n v="10"/>
    <x v="0"/>
    <x v="1"/>
    <n v="10291"/>
    <n v="1029.1000000000001"/>
    <n v="9261.9"/>
    <x v="0"/>
    <n v="2026"/>
  </r>
  <r>
    <n v="1018"/>
    <x v="13"/>
    <x v="4"/>
    <x v="1"/>
    <x v="0"/>
    <x v="0"/>
    <n v="8"/>
    <n v="638"/>
    <n v="10"/>
    <x v="0"/>
    <x v="1"/>
    <n v="5104"/>
    <n v="510.40000000000003"/>
    <n v="4593.6000000000004"/>
    <x v="1"/>
    <n v="2026"/>
  </r>
  <r>
    <n v="1019"/>
    <x v="14"/>
    <x v="2"/>
    <x v="1"/>
    <x v="6"/>
    <x v="1"/>
    <n v="4"/>
    <n v="3441"/>
    <n v="10"/>
    <x v="1"/>
    <x v="1"/>
    <n v="13764"/>
    <n v="1376.4"/>
    <n v="12387.6"/>
    <x v="1"/>
    <n v="2026"/>
  </r>
  <r>
    <n v="1020"/>
    <x v="0"/>
    <x v="7"/>
    <x v="0"/>
    <x v="6"/>
    <x v="1"/>
    <n v="3"/>
    <n v="3193"/>
    <n v="5"/>
    <x v="1"/>
    <x v="1"/>
    <n v="9579"/>
    <n v="478.95000000000005"/>
    <n v="9100.0499999999993"/>
    <x v="0"/>
    <n v="2026"/>
  </r>
  <r>
    <n v="1021"/>
    <x v="15"/>
    <x v="8"/>
    <x v="3"/>
    <x v="3"/>
    <x v="1"/>
    <n v="1"/>
    <n v="1399"/>
    <n v="5"/>
    <x v="1"/>
    <x v="2"/>
    <n v="1399"/>
    <n v="69.95"/>
    <n v="1329.05"/>
    <x v="0"/>
    <n v="2026"/>
  </r>
  <r>
    <n v="1022"/>
    <x v="16"/>
    <x v="8"/>
    <x v="1"/>
    <x v="5"/>
    <x v="0"/>
    <n v="2"/>
    <n v="8738"/>
    <n v="5"/>
    <x v="1"/>
    <x v="1"/>
    <n v="17476"/>
    <n v="873.80000000000007"/>
    <n v="16602.2"/>
    <x v="0"/>
    <n v="2026"/>
  </r>
  <r>
    <n v="1024"/>
    <x v="17"/>
    <x v="4"/>
    <x v="0"/>
    <x v="2"/>
    <x v="1"/>
    <n v="3"/>
    <n v="9756"/>
    <n v="0"/>
    <x v="1"/>
    <x v="1"/>
    <n v="29268"/>
    <n v="0"/>
    <n v="29268"/>
    <x v="3"/>
    <n v="2026"/>
  </r>
  <r>
    <n v="1026"/>
    <x v="1"/>
    <x v="1"/>
    <x v="0"/>
    <x v="6"/>
    <x v="1"/>
    <n v="5"/>
    <n v="3376"/>
    <n v="15"/>
    <x v="1"/>
    <x v="0"/>
    <n v="16880"/>
    <n v="2532"/>
    <n v="14348"/>
    <x v="1"/>
    <n v="2026"/>
  </r>
  <r>
    <n v="1027"/>
    <x v="18"/>
    <x v="9"/>
    <x v="2"/>
    <x v="3"/>
    <x v="1"/>
    <n v="7"/>
    <n v="1365"/>
    <n v="15"/>
    <x v="1"/>
    <x v="1"/>
    <n v="9555"/>
    <n v="1433.25"/>
    <n v="8121.75"/>
    <x v="3"/>
    <n v="2026"/>
  </r>
  <r>
    <n v="1028"/>
    <x v="5"/>
    <x v="6"/>
    <x v="1"/>
    <x v="1"/>
    <x v="0"/>
    <n v="9"/>
    <n v="1334"/>
    <n v="5"/>
    <x v="0"/>
    <x v="0"/>
    <n v="12006"/>
    <n v="600.30000000000007"/>
    <n v="11405.7"/>
    <x v="2"/>
    <n v="2026"/>
  </r>
  <r>
    <n v="1029"/>
    <x v="19"/>
    <x v="7"/>
    <x v="3"/>
    <x v="6"/>
    <x v="1"/>
    <n v="10"/>
    <n v="3908"/>
    <n v="5"/>
    <x v="0"/>
    <x v="1"/>
    <n v="39080"/>
    <n v="1954"/>
    <n v="37126"/>
    <x v="0"/>
    <n v="2026"/>
  </r>
  <r>
    <n v="1030"/>
    <x v="13"/>
    <x v="10"/>
    <x v="0"/>
    <x v="3"/>
    <x v="1"/>
    <n v="1"/>
    <n v="937"/>
    <n v="15"/>
    <x v="0"/>
    <x v="0"/>
    <n v="937"/>
    <n v="140.54999999999998"/>
    <n v="796.45"/>
    <x v="1"/>
    <n v="2026"/>
  </r>
  <r>
    <n v="1031"/>
    <x v="20"/>
    <x v="4"/>
    <x v="0"/>
    <x v="7"/>
    <x v="0"/>
    <n v="2"/>
    <n v="6897"/>
    <n v="10"/>
    <x v="0"/>
    <x v="0"/>
    <n v="13794"/>
    <n v="1379.4"/>
    <n v="12414.6"/>
    <x v="3"/>
    <n v="2026"/>
  </r>
  <r>
    <n v="1032"/>
    <x v="21"/>
    <x v="4"/>
    <x v="3"/>
    <x v="3"/>
    <x v="1"/>
    <n v="8"/>
    <n v="1377"/>
    <n v="15"/>
    <x v="0"/>
    <x v="1"/>
    <n v="11016"/>
    <n v="1652.3999999999999"/>
    <n v="9363.6"/>
    <x v="1"/>
    <n v="2026"/>
  </r>
  <r>
    <n v="1033"/>
    <x v="9"/>
    <x v="4"/>
    <x v="1"/>
    <x v="2"/>
    <x v="1"/>
    <n v="2"/>
    <n v="10274"/>
    <n v="10"/>
    <x v="0"/>
    <x v="2"/>
    <n v="20548"/>
    <n v="2054.8000000000002"/>
    <n v="18493.2"/>
    <x v="0"/>
    <n v="2026"/>
  </r>
  <r>
    <n v="1034"/>
    <x v="22"/>
    <x v="0"/>
    <x v="0"/>
    <x v="0"/>
    <x v="0"/>
    <n v="2"/>
    <n v="611"/>
    <n v="15"/>
    <x v="1"/>
    <x v="1"/>
    <n v="1222"/>
    <n v="183.29999999999998"/>
    <n v="1038.7"/>
    <x v="1"/>
    <n v="2026"/>
  </r>
  <r>
    <n v="1035"/>
    <x v="5"/>
    <x v="1"/>
    <x v="0"/>
    <x v="3"/>
    <x v="1"/>
    <n v="6"/>
    <n v="953"/>
    <n v="10"/>
    <x v="0"/>
    <x v="1"/>
    <n v="5718"/>
    <n v="571.80000000000007"/>
    <n v="5146.2"/>
    <x v="2"/>
    <n v="2026"/>
  </r>
  <r>
    <n v="1036"/>
    <x v="23"/>
    <x v="6"/>
    <x v="1"/>
    <x v="6"/>
    <x v="1"/>
    <n v="2"/>
    <n v="3414"/>
    <n v="0"/>
    <x v="0"/>
    <x v="1"/>
    <n v="6828"/>
    <n v="0"/>
    <n v="6828"/>
    <x v="0"/>
    <n v="2026"/>
  </r>
  <r>
    <n v="1037"/>
    <x v="24"/>
    <x v="10"/>
    <x v="3"/>
    <x v="0"/>
    <x v="0"/>
    <n v="6"/>
    <n v="643"/>
    <n v="15"/>
    <x v="1"/>
    <x v="2"/>
    <n v="3858"/>
    <n v="578.69999999999993"/>
    <n v="3279.3"/>
    <x v="0"/>
    <n v="2026"/>
  </r>
  <r>
    <n v="1039"/>
    <x v="2"/>
    <x v="3"/>
    <x v="0"/>
    <x v="2"/>
    <x v="1"/>
    <n v="4"/>
    <n v="10466"/>
    <n v="15"/>
    <x v="1"/>
    <x v="2"/>
    <n v="41864"/>
    <n v="6279.5999999999995"/>
    <n v="35584.400000000001"/>
    <x v="0"/>
    <n v="2026"/>
  </r>
  <r>
    <n v="1040"/>
    <x v="25"/>
    <x v="5"/>
    <x v="1"/>
    <x v="1"/>
    <x v="0"/>
    <n v="7"/>
    <n v="807"/>
    <n v="0"/>
    <x v="0"/>
    <x v="0"/>
    <n v="5649"/>
    <n v="0"/>
    <n v="5649"/>
    <x v="3"/>
    <n v="2026"/>
  </r>
  <r>
    <n v="1041"/>
    <x v="23"/>
    <x v="7"/>
    <x v="2"/>
    <x v="3"/>
    <x v="1"/>
    <n v="8"/>
    <n v="1589"/>
    <n v="0"/>
    <x v="0"/>
    <x v="0"/>
    <n v="12712"/>
    <n v="0"/>
    <n v="12712"/>
    <x v="0"/>
    <n v="2026"/>
  </r>
  <r>
    <n v="1042"/>
    <x v="26"/>
    <x v="9"/>
    <x v="1"/>
    <x v="2"/>
    <x v="1"/>
    <n v="5"/>
    <n v="9573"/>
    <n v="5"/>
    <x v="1"/>
    <x v="0"/>
    <n v="47865"/>
    <n v="2393.25"/>
    <n v="45471.75"/>
    <x v="3"/>
    <n v="2026"/>
  </r>
  <r>
    <n v="1043"/>
    <x v="27"/>
    <x v="8"/>
    <x v="0"/>
    <x v="7"/>
    <x v="0"/>
    <n v="3"/>
    <n v="6939"/>
    <n v="0"/>
    <x v="1"/>
    <x v="2"/>
    <n v="20817"/>
    <n v="0"/>
    <n v="20817"/>
    <x v="0"/>
    <n v="2026"/>
  </r>
  <r>
    <n v="1044"/>
    <x v="28"/>
    <x v="5"/>
    <x v="1"/>
    <x v="2"/>
    <x v="1"/>
    <n v="2"/>
    <n v="9517"/>
    <n v="5"/>
    <x v="1"/>
    <x v="0"/>
    <n v="19034"/>
    <n v="951.7"/>
    <n v="18082.3"/>
    <x v="3"/>
    <n v="2026"/>
  </r>
  <r>
    <n v="1045"/>
    <x v="28"/>
    <x v="3"/>
    <x v="2"/>
    <x v="4"/>
    <x v="0"/>
    <n v="10"/>
    <n v="15421"/>
    <n v="5"/>
    <x v="1"/>
    <x v="0"/>
    <n v="154210"/>
    <n v="7710.5"/>
    <n v="146499.5"/>
    <x v="3"/>
    <n v="2026"/>
  </r>
  <r>
    <n v="1046"/>
    <x v="21"/>
    <x v="7"/>
    <x v="0"/>
    <x v="0"/>
    <x v="0"/>
    <n v="7"/>
    <n v="322"/>
    <n v="5"/>
    <x v="0"/>
    <x v="0"/>
    <n v="2254"/>
    <n v="112.7"/>
    <n v="2141.3000000000002"/>
    <x v="1"/>
    <n v="2026"/>
  </r>
  <r>
    <n v="1047"/>
    <x v="20"/>
    <x v="6"/>
    <x v="3"/>
    <x v="0"/>
    <x v="0"/>
    <n v="8"/>
    <n v="929"/>
    <n v="5"/>
    <x v="0"/>
    <x v="1"/>
    <n v="7432"/>
    <n v="371.6"/>
    <n v="7060.4"/>
    <x v="3"/>
    <n v="2026"/>
  </r>
  <r>
    <n v="1049"/>
    <x v="29"/>
    <x v="6"/>
    <x v="3"/>
    <x v="5"/>
    <x v="0"/>
    <n v="1"/>
    <n v="8747"/>
    <n v="10"/>
    <x v="1"/>
    <x v="1"/>
    <n v="8747"/>
    <n v="874.7"/>
    <n v="7872.3"/>
    <x v="3"/>
    <n v="2026"/>
  </r>
  <r>
    <n v="1050"/>
    <x v="30"/>
    <x v="3"/>
    <x v="0"/>
    <x v="3"/>
    <x v="1"/>
    <n v="4"/>
    <n v="1602"/>
    <n v="0"/>
    <x v="0"/>
    <x v="1"/>
    <n v="6408"/>
    <n v="0"/>
    <n v="6408"/>
    <x v="1"/>
    <n v="2026"/>
  </r>
  <r>
    <n v="1051"/>
    <x v="31"/>
    <x v="8"/>
    <x v="1"/>
    <x v="1"/>
    <x v="0"/>
    <n v="1"/>
    <n v="1270"/>
    <n v="15"/>
    <x v="1"/>
    <x v="1"/>
    <n v="1270"/>
    <n v="190.5"/>
    <n v="1079.5"/>
    <x v="0"/>
    <n v="2026"/>
  </r>
  <r>
    <n v="1053"/>
    <x v="14"/>
    <x v="11"/>
    <x v="0"/>
    <x v="5"/>
    <x v="0"/>
    <n v="10"/>
    <n v="8887"/>
    <n v="15"/>
    <x v="0"/>
    <x v="1"/>
    <n v="88870"/>
    <n v="13330.5"/>
    <n v="75539.5"/>
    <x v="1"/>
    <n v="2026"/>
  </r>
  <r>
    <n v="1054"/>
    <x v="28"/>
    <x v="2"/>
    <x v="0"/>
    <x v="5"/>
    <x v="0"/>
    <n v="6"/>
    <n v="8749"/>
    <n v="5"/>
    <x v="1"/>
    <x v="0"/>
    <n v="52494"/>
    <n v="2624.7000000000003"/>
    <n v="49869.3"/>
    <x v="3"/>
    <n v="2026"/>
  </r>
  <r>
    <n v="1055"/>
    <x v="32"/>
    <x v="2"/>
    <x v="0"/>
    <x v="4"/>
    <x v="0"/>
    <n v="8"/>
    <n v="14768"/>
    <n v="10"/>
    <x v="1"/>
    <x v="2"/>
    <n v="118144"/>
    <n v="11814.400000000001"/>
    <n v="106329.60000000001"/>
    <x v="0"/>
    <n v="2026"/>
  </r>
  <r>
    <n v="1056"/>
    <x v="33"/>
    <x v="7"/>
    <x v="1"/>
    <x v="6"/>
    <x v="1"/>
    <n v="9"/>
    <n v="3525"/>
    <n v="10"/>
    <x v="1"/>
    <x v="2"/>
    <n v="31725"/>
    <n v="3172.5"/>
    <n v="28552.5"/>
    <x v="0"/>
    <n v="2026"/>
  </r>
  <r>
    <n v="1057"/>
    <x v="34"/>
    <x v="5"/>
    <x v="1"/>
    <x v="1"/>
    <x v="0"/>
    <n v="5"/>
    <n v="890"/>
    <n v="5"/>
    <x v="0"/>
    <x v="1"/>
    <n v="4450"/>
    <n v="222.5"/>
    <n v="4227.5"/>
    <x v="3"/>
    <n v="2026"/>
  </r>
  <r>
    <n v="1058"/>
    <x v="35"/>
    <x v="5"/>
    <x v="2"/>
    <x v="1"/>
    <x v="0"/>
    <n v="1"/>
    <n v="1122"/>
    <n v="15"/>
    <x v="0"/>
    <x v="1"/>
    <n v="1122"/>
    <n v="168.29999999999998"/>
    <n v="953.7"/>
    <x v="3"/>
    <n v="2026"/>
  </r>
  <r>
    <n v="1059"/>
    <x v="36"/>
    <x v="9"/>
    <x v="0"/>
    <x v="4"/>
    <x v="0"/>
    <n v="9"/>
    <n v="15211"/>
    <n v="15"/>
    <x v="0"/>
    <x v="2"/>
    <n v="136899"/>
    <n v="20534.849999999999"/>
    <n v="116364.15"/>
    <x v="3"/>
    <n v="2026"/>
  </r>
  <r>
    <n v="1060"/>
    <x v="24"/>
    <x v="3"/>
    <x v="0"/>
    <x v="2"/>
    <x v="1"/>
    <n v="9"/>
    <n v="9555"/>
    <n v="0"/>
    <x v="0"/>
    <x v="2"/>
    <n v="85995"/>
    <n v="0"/>
    <n v="85995"/>
    <x v="0"/>
    <n v="2026"/>
  </r>
  <r>
    <n v="1061"/>
    <x v="2"/>
    <x v="11"/>
    <x v="2"/>
    <x v="3"/>
    <x v="1"/>
    <n v="7"/>
    <n v="1103"/>
    <n v="15"/>
    <x v="1"/>
    <x v="1"/>
    <n v="7721"/>
    <n v="1158.1499999999999"/>
    <n v="6562.85"/>
    <x v="0"/>
    <n v="2026"/>
  </r>
  <r>
    <n v="1062"/>
    <x v="31"/>
    <x v="4"/>
    <x v="0"/>
    <x v="3"/>
    <x v="1"/>
    <n v="7"/>
    <n v="921"/>
    <n v="0"/>
    <x v="1"/>
    <x v="0"/>
    <n v="6447"/>
    <n v="0"/>
    <n v="6447"/>
    <x v="0"/>
    <n v="2026"/>
  </r>
  <r>
    <n v="1063"/>
    <x v="37"/>
    <x v="7"/>
    <x v="2"/>
    <x v="1"/>
    <x v="0"/>
    <n v="8"/>
    <n v="980"/>
    <n v="5"/>
    <x v="1"/>
    <x v="2"/>
    <n v="7840"/>
    <n v="392"/>
    <n v="7448"/>
    <x v="3"/>
    <n v="2026"/>
  </r>
  <r>
    <n v="1064"/>
    <x v="38"/>
    <x v="11"/>
    <x v="0"/>
    <x v="0"/>
    <x v="0"/>
    <n v="3"/>
    <n v="711"/>
    <n v="15"/>
    <x v="0"/>
    <x v="0"/>
    <n v="2133"/>
    <n v="319.95"/>
    <n v="1813.05"/>
    <x v="3"/>
    <n v="2026"/>
  </r>
  <r>
    <n v="1065"/>
    <x v="39"/>
    <x v="11"/>
    <x v="0"/>
    <x v="6"/>
    <x v="1"/>
    <n v="9"/>
    <n v="3830"/>
    <n v="0"/>
    <x v="0"/>
    <x v="1"/>
    <n v="34470"/>
    <n v="0"/>
    <n v="34470"/>
    <x v="1"/>
    <n v="2026"/>
  </r>
  <r>
    <n v="1066"/>
    <x v="40"/>
    <x v="1"/>
    <x v="2"/>
    <x v="3"/>
    <x v="1"/>
    <n v="6"/>
    <n v="1504"/>
    <n v="5"/>
    <x v="0"/>
    <x v="0"/>
    <n v="9024"/>
    <n v="451.20000000000005"/>
    <n v="8572.7999999999993"/>
    <x v="1"/>
    <n v="2026"/>
  </r>
  <r>
    <n v="1067"/>
    <x v="2"/>
    <x v="1"/>
    <x v="2"/>
    <x v="0"/>
    <x v="0"/>
    <n v="2"/>
    <n v="671"/>
    <n v="10"/>
    <x v="1"/>
    <x v="2"/>
    <n v="1342"/>
    <n v="134.20000000000002"/>
    <n v="1207.8"/>
    <x v="0"/>
    <n v="2026"/>
  </r>
  <r>
    <n v="1068"/>
    <x v="41"/>
    <x v="1"/>
    <x v="1"/>
    <x v="0"/>
    <x v="0"/>
    <n v="5"/>
    <n v="2"/>
    <n v="10"/>
    <x v="1"/>
    <x v="1"/>
    <n v="10"/>
    <n v="1"/>
    <n v="9"/>
    <x v="1"/>
    <n v="2026"/>
  </r>
  <r>
    <n v="1069"/>
    <x v="35"/>
    <x v="6"/>
    <x v="0"/>
    <x v="6"/>
    <x v="1"/>
    <n v="4"/>
    <n v="3556"/>
    <n v="0"/>
    <x v="1"/>
    <x v="2"/>
    <n v="14224"/>
    <n v="0"/>
    <n v="14224"/>
    <x v="3"/>
    <n v="2026"/>
  </r>
  <r>
    <n v="1070"/>
    <x v="42"/>
    <x v="6"/>
    <x v="3"/>
    <x v="7"/>
    <x v="0"/>
    <n v="1"/>
    <n v="6976"/>
    <n v="0"/>
    <x v="1"/>
    <x v="2"/>
    <n v="6976"/>
    <n v="0"/>
    <n v="6976"/>
    <x v="1"/>
    <n v="2026"/>
  </r>
  <r>
    <n v="1071"/>
    <x v="20"/>
    <x v="10"/>
    <x v="1"/>
    <x v="5"/>
    <x v="0"/>
    <n v="1"/>
    <n v="9478"/>
    <n v="0"/>
    <x v="1"/>
    <x v="0"/>
    <n v="9478"/>
    <n v="0"/>
    <n v="9478"/>
    <x v="3"/>
    <n v="2026"/>
  </r>
  <r>
    <n v="1072"/>
    <x v="43"/>
    <x v="11"/>
    <x v="0"/>
    <x v="4"/>
    <x v="0"/>
    <n v="5"/>
    <n v="15251"/>
    <n v="10"/>
    <x v="1"/>
    <x v="1"/>
    <n v="76255"/>
    <n v="7625.5"/>
    <n v="68629.5"/>
    <x v="0"/>
    <n v="2026"/>
  </r>
  <r>
    <n v="1073"/>
    <x v="11"/>
    <x v="11"/>
    <x v="3"/>
    <x v="2"/>
    <x v="1"/>
    <n v="2"/>
    <n v="10036"/>
    <n v="0"/>
    <x v="0"/>
    <x v="2"/>
    <n v="20072"/>
    <n v="0"/>
    <n v="20072"/>
    <x v="3"/>
    <n v="2026"/>
  </r>
  <r>
    <n v="1074"/>
    <x v="44"/>
    <x v="7"/>
    <x v="0"/>
    <x v="0"/>
    <x v="0"/>
    <n v="2"/>
    <n v="840"/>
    <n v="5"/>
    <x v="1"/>
    <x v="0"/>
    <n v="1680"/>
    <n v="84"/>
    <n v="1596"/>
    <x v="3"/>
    <n v="2026"/>
  </r>
  <r>
    <n v="1075"/>
    <x v="45"/>
    <x v="8"/>
    <x v="0"/>
    <x v="1"/>
    <x v="0"/>
    <n v="2"/>
    <n v="541"/>
    <n v="0"/>
    <x v="0"/>
    <x v="2"/>
    <n v="1082"/>
    <n v="0"/>
    <n v="1082"/>
    <x v="3"/>
    <n v="2026"/>
  </r>
  <r>
    <n v="1076"/>
    <x v="2"/>
    <x v="1"/>
    <x v="0"/>
    <x v="2"/>
    <x v="1"/>
    <n v="5"/>
    <n v="9884"/>
    <n v="15"/>
    <x v="1"/>
    <x v="2"/>
    <n v="49420"/>
    <n v="7413"/>
    <n v="42007"/>
    <x v="0"/>
    <n v="2026"/>
  </r>
  <r>
    <n v="1077"/>
    <x v="46"/>
    <x v="6"/>
    <x v="3"/>
    <x v="0"/>
    <x v="0"/>
    <n v="8"/>
    <n v="121"/>
    <n v="10"/>
    <x v="0"/>
    <x v="1"/>
    <n v="968"/>
    <n v="96.800000000000011"/>
    <n v="871.2"/>
    <x v="1"/>
    <n v="2026"/>
  </r>
  <r>
    <n v="1078"/>
    <x v="33"/>
    <x v="11"/>
    <x v="0"/>
    <x v="3"/>
    <x v="1"/>
    <n v="4"/>
    <n v="1265"/>
    <n v="10"/>
    <x v="0"/>
    <x v="2"/>
    <n v="5060"/>
    <n v="506"/>
    <n v="4554"/>
    <x v="0"/>
    <n v="2026"/>
  </r>
  <r>
    <n v="1079"/>
    <x v="8"/>
    <x v="5"/>
    <x v="3"/>
    <x v="7"/>
    <x v="0"/>
    <n v="10"/>
    <n v="7025"/>
    <n v="0"/>
    <x v="1"/>
    <x v="1"/>
    <n v="70250"/>
    <n v="0"/>
    <n v="70250"/>
    <x v="1"/>
    <n v="2026"/>
  </r>
  <r>
    <n v="1080"/>
    <x v="47"/>
    <x v="4"/>
    <x v="0"/>
    <x v="7"/>
    <x v="0"/>
    <n v="6"/>
    <n v="7127"/>
    <n v="15"/>
    <x v="1"/>
    <x v="1"/>
    <n v="42762"/>
    <n v="6414.3"/>
    <n v="36347.699999999997"/>
    <x v="3"/>
    <n v="2026"/>
  </r>
  <r>
    <n v="1081"/>
    <x v="42"/>
    <x v="4"/>
    <x v="1"/>
    <x v="1"/>
    <x v="0"/>
    <n v="1"/>
    <n v="546"/>
    <n v="0"/>
    <x v="0"/>
    <x v="2"/>
    <n v="546"/>
    <n v="0"/>
    <n v="546"/>
    <x v="1"/>
    <n v="2026"/>
  </r>
  <r>
    <n v="1082"/>
    <x v="48"/>
    <x v="1"/>
    <x v="3"/>
    <x v="7"/>
    <x v="0"/>
    <n v="6"/>
    <n v="7240"/>
    <n v="10"/>
    <x v="0"/>
    <x v="2"/>
    <n v="43440"/>
    <n v="4344"/>
    <n v="39096"/>
    <x v="1"/>
    <n v="2026"/>
  </r>
  <r>
    <n v="1083"/>
    <x v="49"/>
    <x v="9"/>
    <x v="1"/>
    <x v="7"/>
    <x v="0"/>
    <n v="5"/>
    <n v="7206"/>
    <n v="5"/>
    <x v="1"/>
    <x v="0"/>
    <n v="36030"/>
    <n v="1801.5"/>
    <n v="34228.5"/>
    <x v="3"/>
    <n v="2026"/>
  </r>
  <r>
    <n v="1084"/>
    <x v="50"/>
    <x v="9"/>
    <x v="0"/>
    <x v="5"/>
    <x v="0"/>
    <n v="1"/>
    <n v="9493"/>
    <n v="10"/>
    <x v="0"/>
    <x v="2"/>
    <n v="9493"/>
    <n v="949.30000000000007"/>
    <n v="8543.7000000000007"/>
    <x v="3"/>
    <n v="2026"/>
  </r>
  <r>
    <n v="1085"/>
    <x v="13"/>
    <x v="8"/>
    <x v="1"/>
    <x v="5"/>
    <x v="0"/>
    <n v="10"/>
    <n v="8771"/>
    <n v="15"/>
    <x v="1"/>
    <x v="2"/>
    <n v="87710"/>
    <n v="13156.5"/>
    <n v="74553.5"/>
    <x v="1"/>
    <n v="2026"/>
  </r>
  <r>
    <n v="1086"/>
    <x v="45"/>
    <x v="3"/>
    <x v="2"/>
    <x v="6"/>
    <x v="1"/>
    <n v="10"/>
    <n v="3269"/>
    <n v="15"/>
    <x v="1"/>
    <x v="2"/>
    <n v="32690"/>
    <n v="4903.5"/>
    <n v="27786.5"/>
    <x v="3"/>
    <n v="2026"/>
  </r>
  <r>
    <n v="1087"/>
    <x v="17"/>
    <x v="9"/>
    <x v="2"/>
    <x v="3"/>
    <x v="1"/>
    <n v="1"/>
    <n v="1430"/>
    <n v="10"/>
    <x v="1"/>
    <x v="2"/>
    <n v="1430"/>
    <n v="143"/>
    <n v="1287"/>
    <x v="3"/>
    <n v="2026"/>
  </r>
  <r>
    <n v="1088"/>
    <x v="24"/>
    <x v="1"/>
    <x v="0"/>
    <x v="0"/>
    <x v="0"/>
    <n v="9"/>
    <n v="124"/>
    <n v="10"/>
    <x v="1"/>
    <x v="0"/>
    <n v="1116"/>
    <n v="111.60000000000001"/>
    <n v="1004.4"/>
    <x v="0"/>
    <n v="2026"/>
  </r>
  <r>
    <n v="1089"/>
    <x v="47"/>
    <x v="0"/>
    <x v="0"/>
    <x v="6"/>
    <x v="1"/>
    <n v="2"/>
    <n v="3076"/>
    <n v="0"/>
    <x v="0"/>
    <x v="1"/>
    <n v="6152"/>
    <n v="0"/>
    <n v="6152"/>
    <x v="3"/>
    <n v="2026"/>
  </r>
  <r>
    <n v="1090"/>
    <x v="13"/>
    <x v="7"/>
    <x v="3"/>
    <x v="1"/>
    <x v="0"/>
    <n v="8"/>
    <n v="783"/>
    <n v="10"/>
    <x v="1"/>
    <x v="0"/>
    <n v="6264"/>
    <n v="626.40000000000009"/>
    <n v="5637.6"/>
    <x v="1"/>
    <n v="2026"/>
  </r>
  <r>
    <n v="1091"/>
    <x v="51"/>
    <x v="0"/>
    <x v="0"/>
    <x v="1"/>
    <x v="0"/>
    <n v="5"/>
    <n v="888"/>
    <n v="10"/>
    <x v="0"/>
    <x v="0"/>
    <n v="4440"/>
    <n v="444"/>
    <n v="3996"/>
    <x v="1"/>
    <n v="2026"/>
  </r>
  <r>
    <n v="1092"/>
    <x v="12"/>
    <x v="11"/>
    <x v="3"/>
    <x v="3"/>
    <x v="1"/>
    <n v="5"/>
    <n v="945"/>
    <n v="10"/>
    <x v="0"/>
    <x v="1"/>
    <n v="4725"/>
    <n v="472.5"/>
    <n v="4252.5"/>
    <x v="0"/>
    <n v="2026"/>
  </r>
  <r>
    <n v="1093"/>
    <x v="48"/>
    <x v="8"/>
    <x v="1"/>
    <x v="0"/>
    <x v="0"/>
    <n v="6"/>
    <n v="776"/>
    <n v="15"/>
    <x v="0"/>
    <x v="1"/>
    <n v="4656"/>
    <n v="698.4"/>
    <n v="3957.6"/>
    <x v="1"/>
    <n v="2026"/>
  </r>
  <r>
    <n v="1094"/>
    <x v="9"/>
    <x v="4"/>
    <x v="2"/>
    <x v="5"/>
    <x v="0"/>
    <n v="8"/>
    <n v="8578"/>
    <n v="5"/>
    <x v="1"/>
    <x v="0"/>
    <n v="68624"/>
    <n v="3431.2000000000003"/>
    <n v="65192.800000000003"/>
    <x v="0"/>
    <n v="2026"/>
  </r>
  <r>
    <n v="1095"/>
    <x v="52"/>
    <x v="3"/>
    <x v="1"/>
    <x v="0"/>
    <x v="0"/>
    <n v="8"/>
    <n v="813"/>
    <n v="5"/>
    <x v="1"/>
    <x v="0"/>
    <n v="6504"/>
    <n v="325.20000000000005"/>
    <n v="6178.8"/>
    <x v="3"/>
    <n v="2026"/>
  </r>
  <r>
    <n v="1096"/>
    <x v="13"/>
    <x v="7"/>
    <x v="0"/>
    <x v="5"/>
    <x v="0"/>
    <n v="6"/>
    <n v="8862"/>
    <n v="15"/>
    <x v="1"/>
    <x v="2"/>
    <n v="53172"/>
    <n v="7975.7999999999993"/>
    <n v="45196.2"/>
    <x v="1"/>
    <n v="2026"/>
  </r>
  <r>
    <n v="1097"/>
    <x v="53"/>
    <x v="11"/>
    <x v="0"/>
    <x v="2"/>
    <x v="1"/>
    <n v="6"/>
    <n v="9981"/>
    <n v="0"/>
    <x v="1"/>
    <x v="2"/>
    <n v="59886"/>
    <n v="0"/>
    <n v="59886"/>
    <x v="1"/>
    <n v="2026"/>
  </r>
  <r>
    <n v="1098"/>
    <x v="7"/>
    <x v="11"/>
    <x v="3"/>
    <x v="2"/>
    <x v="1"/>
    <n v="2"/>
    <n v="10417"/>
    <n v="5"/>
    <x v="0"/>
    <x v="0"/>
    <n v="20834"/>
    <n v="1041.7"/>
    <n v="19792.3"/>
    <x v="1"/>
    <n v="2026"/>
  </r>
  <r>
    <n v="1099"/>
    <x v="15"/>
    <x v="6"/>
    <x v="3"/>
    <x v="4"/>
    <x v="0"/>
    <n v="1"/>
    <n v="14935"/>
    <n v="15"/>
    <x v="1"/>
    <x v="1"/>
    <n v="14935"/>
    <n v="2240.25"/>
    <n v="12694.75"/>
    <x v="0"/>
    <n v="2026"/>
  </r>
  <r>
    <n v="1100"/>
    <x v="54"/>
    <x v="7"/>
    <x v="0"/>
    <x v="6"/>
    <x v="1"/>
    <n v="9"/>
    <n v="3717"/>
    <n v="10"/>
    <x v="1"/>
    <x v="0"/>
    <n v="33453"/>
    <n v="3345.3"/>
    <n v="30107.7"/>
    <x v="1"/>
    <n v="2026"/>
  </r>
  <r>
    <n v="1101"/>
    <x v="48"/>
    <x v="7"/>
    <x v="1"/>
    <x v="2"/>
    <x v="1"/>
    <n v="9"/>
    <n v="10416"/>
    <n v="10"/>
    <x v="1"/>
    <x v="0"/>
    <n v="93744"/>
    <n v="9374.4"/>
    <n v="84369.600000000006"/>
    <x v="1"/>
    <n v="2026"/>
  </r>
  <r>
    <n v="1102"/>
    <x v="4"/>
    <x v="7"/>
    <x v="1"/>
    <x v="4"/>
    <x v="0"/>
    <n v="9"/>
    <n v="14744"/>
    <n v="15"/>
    <x v="0"/>
    <x v="2"/>
    <n v="132696"/>
    <n v="19904.399999999998"/>
    <n v="112791.6"/>
    <x v="1"/>
    <n v="2026"/>
  </r>
  <r>
    <n v="1103"/>
    <x v="36"/>
    <x v="10"/>
    <x v="1"/>
    <x v="5"/>
    <x v="0"/>
    <n v="10"/>
    <n v="8686"/>
    <n v="0"/>
    <x v="0"/>
    <x v="2"/>
    <n v="86860"/>
    <n v="0"/>
    <n v="86860"/>
    <x v="3"/>
    <n v="2026"/>
  </r>
  <r>
    <n v="1104"/>
    <x v="35"/>
    <x v="3"/>
    <x v="0"/>
    <x v="5"/>
    <x v="0"/>
    <n v="9"/>
    <n v="8818"/>
    <n v="10"/>
    <x v="0"/>
    <x v="0"/>
    <n v="79362"/>
    <n v="7936.2000000000007"/>
    <n v="71425.8"/>
    <x v="3"/>
    <n v="2026"/>
  </r>
  <r>
    <n v="1105"/>
    <x v="55"/>
    <x v="7"/>
    <x v="1"/>
    <x v="2"/>
    <x v="1"/>
    <n v="6"/>
    <n v="9713"/>
    <n v="0"/>
    <x v="1"/>
    <x v="2"/>
    <n v="58278"/>
    <n v="0"/>
    <n v="58278"/>
    <x v="0"/>
    <n v="2026"/>
  </r>
  <r>
    <n v="1106"/>
    <x v="23"/>
    <x v="11"/>
    <x v="0"/>
    <x v="0"/>
    <x v="0"/>
    <n v="8"/>
    <n v="549"/>
    <n v="5"/>
    <x v="0"/>
    <x v="0"/>
    <n v="4392"/>
    <n v="219.60000000000002"/>
    <n v="4172.3999999999996"/>
    <x v="0"/>
    <n v="2026"/>
  </r>
  <r>
    <n v="1107"/>
    <x v="43"/>
    <x v="6"/>
    <x v="1"/>
    <x v="4"/>
    <x v="0"/>
    <n v="4"/>
    <n v="14728"/>
    <n v="0"/>
    <x v="0"/>
    <x v="1"/>
    <n v="58912"/>
    <n v="0"/>
    <n v="58912"/>
    <x v="0"/>
    <n v="2026"/>
  </r>
  <r>
    <n v="1108"/>
    <x v="8"/>
    <x v="4"/>
    <x v="3"/>
    <x v="7"/>
    <x v="0"/>
    <n v="3"/>
    <n v="6562"/>
    <n v="0"/>
    <x v="0"/>
    <x v="0"/>
    <n v="19686"/>
    <n v="0"/>
    <n v="19686"/>
    <x v="1"/>
    <n v="2026"/>
  </r>
  <r>
    <n v="1109"/>
    <x v="56"/>
    <x v="5"/>
    <x v="1"/>
    <x v="6"/>
    <x v="1"/>
    <n v="10"/>
    <n v="3749"/>
    <n v="10"/>
    <x v="1"/>
    <x v="1"/>
    <n v="37490"/>
    <n v="3749"/>
    <n v="33741"/>
    <x v="1"/>
    <n v="2026"/>
  </r>
  <r>
    <n v="1110"/>
    <x v="57"/>
    <x v="9"/>
    <x v="0"/>
    <x v="5"/>
    <x v="0"/>
    <n v="6"/>
    <n v="8587"/>
    <n v="15"/>
    <x v="0"/>
    <x v="1"/>
    <n v="51522"/>
    <n v="7728.2999999999993"/>
    <n v="43793.7"/>
    <x v="1"/>
    <n v="2026"/>
  </r>
  <r>
    <n v="1111"/>
    <x v="37"/>
    <x v="3"/>
    <x v="2"/>
    <x v="2"/>
    <x v="1"/>
    <n v="2"/>
    <n v="10276"/>
    <n v="0"/>
    <x v="0"/>
    <x v="0"/>
    <n v="20552"/>
    <n v="0"/>
    <n v="20552"/>
    <x v="3"/>
    <n v="2026"/>
  </r>
  <r>
    <n v="1114"/>
    <x v="58"/>
    <x v="11"/>
    <x v="2"/>
    <x v="5"/>
    <x v="0"/>
    <n v="4"/>
    <n v="8916"/>
    <n v="10"/>
    <x v="1"/>
    <x v="2"/>
    <n v="35664"/>
    <n v="3566.4"/>
    <n v="32097.599999999999"/>
    <x v="0"/>
    <n v="2026"/>
  </r>
  <r>
    <n v="1115"/>
    <x v="40"/>
    <x v="7"/>
    <x v="2"/>
    <x v="0"/>
    <x v="0"/>
    <n v="3"/>
    <n v="538"/>
    <n v="0"/>
    <x v="0"/>
    <x v="0"/>
    <n v="1614"/>
    <n v="0"/>
    <n v="1614"/>
    <x v="1"/>
    <n v="2026"/>
  </r>
  <r>
    <n v="1116"/>
    <x v="59"/>
    <x v="11"/>
    <x v="0"/>
    <x v="1"/>
    <x v="0"/>
    <n v="4"/>
    <n v="437"/>
    <n v="10"/>
    <x v="1"/>
    <x v="0"/>
    <n v="1748"/>
    <n v="174.8"/>
    <n v="1573.2"/>
    <x v="0"/>
    <n v="2026"/>
  </r>
  <r>
    <n v="1117"/>
    <x v="60"/>
    <x v="8"/>
    <x v="2"/>
    <x v="1"/>
    <x v="0"/>
    <n v="5"/>
    <n v="858"/>
    <n v="10"/>
    <x v="1"/>
    <x v="1"/>
    <n v="4290"/>
    <n v="429"/>
    <n v="3861"/>
    <x v="3"/>
    <n v="2026"/>
  </r>
  <r>
    <n v="1118"/>
    <x v="61"/>
    <x v="1"/>
    <x v="2"/>
    <x v="6"/>
    <x v="1"/>
    <n v="1"/>
    <n v="3237"/>
    <n v="0"/>
    <x v="0"/>
    <x v="2"/>
    <n v="3237"/>
    <n v="0"/>
    <n v="3237"/>
    <x v="3"/>
    <n v="2026"/>
  </r>
  <r>
    <n v="1119"/>
    <x v="9"/>
    <x v="8"/>
    <x v="3"/>
    <x v="6"/>
    <x v="1"/>
    <n v="7"/>
    <n v="3724"/>
    <n v="10"/>
    <x v="0"/>
    <x v="0"/>
    <n v="26068"/>
    <n v="2606.8000000000002"/>
    <n v="23461.200000000001"/>
    <x v="0"/>
    <n v="2026"/>
  </r>
  <r>
    <n v="1121"/>
    <x v="34"/>
    <x v="6"/>
    <x v="0"/>
    <x v="7"/>
    <x v="0"/>
    <n v="1"/>
    <n v="7453"/>
    <n v="15"/>
    <x v="1"/>
    <x v="2"/>
    <n v="7453"/>
    <n v="1117.95"/>
    <n v="6335.05"/>
    <x v="3"/>
    <n v="2026"/>
  </r>
  <r>
    <n v="1122"/>
    <x v="53"/>
    <x v="11"/>
    <x v="3"/>
    <x v="5"/>
    <x v="0"/>
    <n v="3"/>
    <n v="9414"/>
    <n v="15"/>
    <x v="1"/>
    <x v="0"/>
    <n v="28242"/>
    <n v="4236.3"/>
    <n v="24005.7"/>
    <x v="1"/>
    <n v="2026"/>
  </r>
  <r>
    <n v="1123"/>
    <x v="30"/>
    <x v="3"/>
    <x v="0"/>
    <x v="6"/>
    <x v="1"/>
    <n v="10"/>
    <n v="3154"/>
    <n v="10"/>
    <x v="1"/>
    <x v="1"/>
    <n v="31540"/>
    <n v="3154"/>
    <n v="28386"/>
    <x v="1"/>
    <n v="2026"/>
  </r>
  <r>
    <n v="1124"/>
    <x v="7"/>
    <x v="4"/>
    <x v="1"/>
    <x v="7"/>
    <x v="0"/>
    <n v="10"/>
    <n v="6696"/>
    <n v="15"/>
    <x v="1"/>
    <x v="1"/>
    <n v="66960"/>
    <n v="10044"/>
    <n v="56916"/>
    <x v="1"/>
    <n v="2026"/>
  </r>
  <r>
    <n v="1125"/>
    <x v="11"/>
    <x v="6"/>
    <x v="0"/>
    <x v="5"/>
    <x v="0"/>
    <n v="3"/>
    <n v="8892"/>
    <n v="15"/>
    <x v="1"/>
    <x v="1"/>
    <n v="26676"/>
    <n v="4001.3999999999996"/>
    <n v="22674.6"/>
    <x v="3"/>
    <n v="2026"/>
  </r>
  <r>
    <n v="1126"/>
    <x v="22"/>
    <x v="7"/>
    <x v="1"/>
    <x v="5"/>
    <x v="0"/>
    <n v="5"/>
    <n v="8732"/>
    <n v="0"/>
    <x v="0"/>
    <x v="1"/>
    <n v="43660"/>
    <n v="0"/>
    <n v="43660"/>
    <x v="1"/>
    <n v="2026"/>
  </r>
  <r>
    <n v="1127"/>
    <x v="11"/>
    <x v="8"/>
    <x v="1"/>
    <x v="5"/>
    <x v="0"/>
    <n v="10"/>
    <n v="9410"/>
    <n v="5"/>
    <x v="0"/>
    <x v="1"/>
    <n v="94100"/>
    <n v="4705"/>
    <n v="89395"/>
    <x v="3"/>
    <n v="2026"/>
  </r>
  <r>
    <n v="1128"/>
    <x v="62"/>
    <x v="8"/>
    <x v="1"/>
    <x v="3"/>
    <x v="1"/>
    <n v="10"/>
    <n v="1304"/>
    <n v="10"/>
    <x v="1"/>
    <x v="0"/>
    <n v="13040"/>
    <n v="1304"/>
    <n v="11736"/>
    <x v="0"/>
    <n v="2026"/>
  </r>
  <r>
    <n v="1129"/>
    <x v="63"/>
    <x v="7"/>
    <x v="0"/>
    <x v="1"/>
    <x v="0"/>
    <n v="2"/>
    <n v="516"/>
    <n v="15"/>
    <x v="1"/>
    <x v="1"/>
    <n v="1032"/>
    <n v="154.79999999999998"/>
    <n v="877.2"/>
    <x v="3"/>
    <n v="2026"/>
  </r>
  <r>
    <n v="1130"/>
    <x v="15"/>
    <x v="8"/>
    <x v="1"/>
    <x v="3"/>
    <x v="1"/>
    <n v="4"/>
    <n v="829"/>
    <n v="15"/>
    <x v="1"/>
    <x v="2"/>
    <n v="3316"/>
    <n v="497.4"/>
    <n v="2818.6"/>
    <x v="0"/>
    <n v="2026"/>
  </r>
  <r>
    <n v="1131"/>
    <x v="25"/>
    <x v="6"/>
    <x v="1"/>
    <x v="0"/>
    <x v="0"/>
    <n v="3"/>
    <n v="943"/>
    <n v="0"/>
    <x v="1"/>
    <x v="0"/>
    <n v="2829"/>
    <n v="0"/>
    <n v="2829"/>
    <x v="3"/>
    <n v="2026"/>
  </r>
  <r>
    <n v="1132"/>
    <x v="64"/>
    <x v="4"/>
    <x v="3"/>
    <x v="6"/>
    <x v="1"/>
    <n v="8"/>
    <n v="3437"/>
    <n v="5"/>
    <x v="0"/>
    <x v="1"/>
    <n v="27496"/>
    <n v="1374.8000000000002"/>
    <n v="26121.200000000001"/>
    <x v="3"/>
    <n v="2026"/>
  </r>
  <r>
    <n v="1133"/>
    <x v="65"/>
    <x v="2"/>
    <x v="0"/>
    <x v="3"/>
    <x v="1"/>
    <n v="7"/>
    <n v="1572"/>
    <n v="0"/>
    <x v="0"/>
    <x v="2"/>
    <n v="11004"/>
    <n v="0"/>
    <n v="11004"/>
    <x v="3"/>
    <n v="2026"/>
  </r>
  <r>
    <n v="1134"/>
    <x v="1"/>
    <x v="3"/>
    <x v="0"/>
    <x v="1"/>
    <x v="0"/>
    <n v="1"/>
    <n v="1016"/>
    <n v="10"/>
    <x v="1"/>
    <x v="2"/>
    <n v="1016"/>
    <n v="101.60000000000001"/>
    <n v="914.4"/>
    <x v="1"/>
    <n v="2026"/>
  </r>
  <r>
    <n v="1135"/>
    <x v="14"/>
    <x v="1"/>
    <x v="0"/>
    <x v="0"/>
    <x v="0"/>
    <n v="8"/>
    <n v="527"/>
    <n v="15"/>
    <x v="1"/>
    <x v="1"/>
    <n v="4216"/>
    <n v="632.4"/>
    <n v="3583.6"/>
    <x v="1"/>
    <n v="2026"/>
  </r>
  <r>
    <n v="1136"/>
    <x v="55"/>
    <x v="6"/>
    <x v="0"/>
    <x v="6"/>
    <x v="1"/>
    <n v="8"/>
    <n v="3223"/>
    <n v="5"/>
    <x v="1"/>
    <x v="1"/>
    <n v="25784"/>
    <n v="1289.2"/>
    <n v="24494.799999999999"/>
    <x v="0"/>
    <n v="2026"/>
  </r>
  <r>
    <n v="1137"/>
    <x v="66"/>
    <x v="1"/>
    <x v="0"/>
    <x v="6"/>
    <x v="1"/>
    <n v="7"/>
    <n v="3881"/>
    <n v="10"/>
    <x v="0"/>
    <x v="1"/>
    <n v="27167"/>
    <n v="2716.7000000000003"/>
    <n v="24450.3"/>
    <x v="1"/>
    <n v="2026"/>
  </r>
  <r>
    <n v="1138"/>
    <x v="61"/>
    <x v="1"/>
    <x v="0"/>
    <x v="7"/>
    <x v="0"/>
    <n v="4"/>
    <n v="7057"/>
    <n v="5"/>
    <x v="1"/>
    <x v="1"/>
    <n v="28228"/>
    <n v="1411.4"/>
    <n v="26816.6"/>
    <x v="3"/>
    <n v="2026"/>
  </r>
  <r>
    <n v="1139"/>
    <x v="47"/>
    <x v="6"/>
    <x v="0"/>
    <x v="3"/>
    <x v="1"/>
    <n v="3"/>
    <n v="1051"/>
    <n v="5"/>
    <x v="1"/>
    <x v="1"/>
    <n v="3153"/>
    <n v="157.65"/>
    <n v="2995.35"/>
    <x v="3"/>
    <n v="2026"/>
  </r>
  <r>
    <n v="1141"/>
    <x v="10"/>
    <x v="3"/>
    <x v="1"/>
    <x v="4"/>
    <x v="0"/>
    <n v="5"/>
    <n v="14965"/>
    <n v="15"/>
    <x v="0"/>
    <x v="1"/>
    <n v="74825"/>
    <n v="11223.75"/>
    <n v="63601.25"/>
    <x v="0"/>
    <n v="2026"/>
  </r>
  <r>
    <n v="1142"/>
    <x v="39"/>
    <x v="8"/>
    <x v="3"/>
    <x v="4"/>
    <x v="0"/>
    <n v="10"/>
    <n v="14581"/>
    <n v="15"/>
    <x v="1"/>
    <x v="2"/>
    <n v="145810"/>
    <n v="21871.5"/>
    <n v="123938.5"/>
    <x v="1"/>
    <n v="2026"/>
  </r>
  <r>
    <n v="1143"/>
    <x v="40"/>
    <x v="1"/>
    <x v="0"/>
    <x v="3"/>
    <x v="1"/>
    <n v="5"/>
    <n v="1657"/>
    <n v="10"/>
    <x v="1"/>
    <x v="0"/>
    <n v="8285"/>
    <n v="828.5"/>
    <n v="7456.5"/>
    <x v="1"/>
    <n v="2026"/>
  </r>
  <r>
    <n v="1144"/>
    <x v="54"/>
    <x v="4"/>
    <x v="0"/>
    <x v="1"/>
    <x v="0"/>
    <n v="6"/>
    <n v="959"/>
    <n v="0"/>
    <x v="1"/>
    <x v="1"/>
    <n v="5754"/>
    <n v="0"/>
    <n v="5754"/>
    <x v="1"/>
    <n v="2026"/>
  </r>
  <r>
    <n v="1146"/>
    <x v="34"/>
    <x v="1"/>
    <x v="3"/>
    <x v="1"/>
    <x v="0"/>
    <n v="6"/>
    <n v="491"/>
    <n v="10"/>
    <x v="0"/>
    <x v="1"/>
    <n v="2946"/>
    <n v="294.60000000000002"/>
    <n v="2651.4"/>
    <x v="3"/>
    <n v="2026"/>
  </r>
  <r>
    <n v="1147"/>
    <x v="10"/>
    <x v="9"/>
    <x v="1"/>
    <x v="6"/>
    <x v="1"/>
    <n v="2"/>
    <n v="3027"/>
    <n v="10"/>
    <x v="1"/>
    <x v="1"/>
    <n v="6054"/>
    <n v="605.4"/>
    <n v="5448.6"/>
    <x v="0"/>
    <n v="2026"/>
  </r>
  <r>
    <n v="1148"/>
    <x v="67"/>
    <x v="0"/>
    <x v="0"/>
    <x v="6"/>
    <x v="1"/>
    <n v="7"/>
    <n v="3388"/>
    <n v="0"/>
    <x v="0"/>
    <x v="0"/>
    <n v="23716"/>
    <n v="0"/>
    <n v="23716"/>
    <x v="1"/>
    <n v="2026"/>
  </r>
  <r>
    <n v="1149"/>
    <x v="61"/>
    <x v="4"/>
    <x v="3"/>
    <x v="0"/>
    <x v="0"/>
    <n v="1"/>
    <n v="511"/>
    <n v="5"/>
    <x v="0"/>
    <x v="2"/>
    <n v="511"/>
    <n v="25.55"/>
    <n v="485.45"/>
    <x v="3"/>
    <n v="2026"/>
  </r>
  <r>
    <n v="1150"/>
    <x v="28"/>
    <x v="0"/>
    <x v="1"/>
    <x v="5"/>
    <x v="0"/>
    <n v="9"/>
    <n v="9445"/>
    <n v="10"/>
    <x v="0"/>
    <x v="1"/>
    <n v="85005"/>
    <n v="8500.5"/>
    <n v="76504.5"/>
    <x v="3"/>
    <n v="2026"/>
  </r>
  <r>
    <n v="1151"/>
    <x v="65"/>
    <x v="2"/>
    <x v="0"/>
    <x v="5"/>
    <x v="0"/>
    <n v="7"/>
    <n v="8763"/>
    <n v="5"/>
    <x v="0"/>
    <x v="2"/>
    <n v="61341"/>
    <n v="3067.05"/>
    <n v="58273.95"/>
    <x v="3"/>
    <n v="2026"/>
  </r>
  <r>
    <n v="1152"/>
    <x v="35"/>
    <x v="7"/>
    <x v="0"/>
    <x v="2"/>
    <x v="1"/>
    <n v="7"/>
    <n v="10188"/>
    <n v="15"/>
    <x v="1"/>
    <x v="1"/>
    <n v="71316"/>
    <n v="10697.4"/>
    <n v="60618.6"/>
    <x v="3"/>
    <n v="2026"/>
  </r>
  <r>
    <n v="1153"/>
    <x v="64"/>
    <x v="3"/>
    <x v="0"/>
    <x v="5"/>
    <x v="0"/>
    <n v="5"/>
    <n v="8593"/>
    <n v="15"/>
    <x v="1"/>
    <x v="2"/>
    <n v="42965"/>
    <n v="6444.75"/>
    <n v="36520.25"/>
    <x v="3"/>
    <n v="2026"/>
  </r>
  <r>
    <n v="1154"/>
    <x v="41"/>
    <x v="3"/>
    <x v="2"/>
    <x v="4"/>
    <x v="0"/>
    <n v="9"/>
    <n v="15048"/>
    <n v="15"/>
    <x v="0"/>
    <x v="1"/>
    <n v="135432"/>
    <n v="20314.8"/>
    <n v="115117.2"/>
    <x v="1"/>
    <n v="2026"/>
  </r>
  <r>
    <n v="1155"/>
    <x v="50"/>
    <x v="4"/>
    <x v="2"/>
    <x v="2"/>
    <x v="1"/>
    <n v="2"/>
    <n v="10332"/>
    <n v="0"/>
    <x v="1"/>
    <x v="2"/>
    <n v="20664"/>
    <n v="0"/>
    <n v="20664"/>
    <x v="3"/>
    <n v="2026"/>
  </r>
  <r>
    <n v="1156"/>
    <x v="68"/>
    <x v="6"/>
    <x v="0"/>
    <x v="7"/>
    <x v="0"/>
    <n v="4"/>
    <n v="6635"/>
    <n v="5"/>
    <x v="1"/>
    <x v="2"/>
    <n v="26540"/>
    <n v="1327"/>
    <n v="25213"/>
    <x v="3"/>
    <n v="2026"/>
  </r>
  <r>
    <n v="1157"/>
    <x v="69"/>
    <x v="2"/>
    <x v="2"/>
    <x v="0"/>
    <x v="0"/>
    <n v="9"/>
    <n v="482"/>
    <n v="0"/>
    <x v="0"/>
    <x v="2"/>
    <n v="4338"/>
    <n v="0"/>
    <n v="4338"/>
    <x v="3"/>
    <n v="2026"/>
  </r>
  <r>
    <n v="1159"/>
    <x v="37"/>
    <x v="5"/>
    <x v="3"/>
    <x v="0"/>
    <x v="0"/>
    <n v="9"/>
    <n v="666"/>
    <n v="15"/>
    <x v="1"/>
    <x v="1"/>
    <n v="5994"/>
    <n v="899.1"/>
    <n v="5094.8999999999996"/>
    <x v="3"/>
    <n v="2026"/>
  </r>
  <r>
    <n v="1160"/>
    <x v="34"/>
    <x v="9"/>
    <x v="0"/>
    <x v="5"/>
    <x v="0"/>
    <n v="2"/>
    <n v="8906"/>
    <n v="5"/>
    <x v="1"/>
    <x v="0"/>
    <n v="17812"/>
    <n v="890.6"/>
    <n v="16921.400000000001"/>
    <x v="3"/>
    <n v="2026"/>
  </r>
  <r>
    <n v="1161"/>
    <x v="40"/>
    <x v="6"/>
    <x v="1"/>
    <x v="3"/>
    <x v="1"/>
    <n v="7"/>
    <n v="706"/>
    <n v="0"/>
    <x v="1"/>
    <x v="2"/>
    <n v="4942"/>
    <n v="0"/>
    <n v="4942"/>
    <x v="1"/>
    <n v="2026"/>
  </r>
  <r>
    <n v="1162"/>
    <x v="33"/>
    <x v="10"/>
    <x v="1"/>
    <x v="2"/>
    <x v="1"/>
    <n v="9"/>
    <n v="10364"/>
    <n v="0"/>
    <x v="0"/>
    <x v="1"/>
    <n v="93276"/>
    <n v="0"/>
    <n v="93276"/>
    <x v="0"/>
    <n v="2026"/>
  </r>
  <r>
    <n v="1163"/>
    <x v="16"/>
    <x v="10"/>
    <x v="1"/>
    <x v="0"/>
    <x v="0"/>
    <n v="10"/>
    <n v="405"/>
    <n v="0"/>
    <x v="1"/>
    <x v="1"/>
    <n v="4050"/>
    <n v="0"/>
    <n v="4050"/>
    <x v="0"/>
    <n v="2026"/>
  </r>
  <r>
    <n v="1164"/>
    <x v="23"/>
    <x v="1"/>
    <x v="0"/>
    <x v="5"/>
    <x v="0"/>
    <n v="2"/>
    <n v="8970"/>
    <n v="0"/>
    <x v="0"/>
    <x v="1"/>
    <n v="17940"/>
    <n v="0"/>
    <n v="17940"/>
    <x v="0"/>
    <n v="2026"/>
  </r>
  <r>
    <n v="1165"/>
    <x v="60"/>
    <x v="11"/>
    <x v="1"/>
    <x v="3"/>
    <x v="1"/>
    <n v="2"/>
    <n v="819"/>
    <n v="15"/>
    <x v="0"/>
    <x v="0"/>
    <n v="1638"/>
    <n v="245.7"/>
    <n v="1392.3"/>
    <x v="3"/>
    <n v="2026"/>
  </r>
  <r>
    <n v="1166"/>
    <x v="2"/>
    <x v="1"/>
    <x v="3"/>
    <x v="3"/>
    <x v="1"/>
    <n v="5"/>
    <n v="1657"/>
    <n v="15"/>
    <x v="0"/>
    <x v="0"/>
    <n v="8285"/>
    <n v="1242.75"/>
    <n v="7042.25"/>
    <x v="0"/>
    <n v="2026"/>
  </r>
  <r>
    <n v="1167"/>
    <x v="62"/>
    <x v="5"/>
    <x v="2"/>
    <x v="3"/>
    <x v="1"/>
    <n v="9"/>
    <n v="1317"/>
    <n v="10"/>
    <x v="0"/>
    <x v="1"/>
    <n v="11853"/>
    <n v="1185.3"/>
    <n v="10667.7"/>
    <x v="0"/>
    <n v="2026"/>
  </r>
  <r>
    <n v="1168"/>
    <x v="69"/>
    <x v="6"/>
    <x v="0"/>
    <x v="6"/>
    <x v="1"/>
    <n v="1"/>
    <n v="3274"/>
    <n v="0"/>
    <x v="1"/>
    <x v="2"/>
    <n v="3274"/>
    <n v="0"/>
    <n v="3274"/>
    <x v="3"/>
    <n v="2026"/>
  </r>
  <r>
    <n v="1169"/>
    <x v="34"/>
    <x v="3"/>
    <x v="1"/>
    <x v="5"/>
    <x v="0"/>
    <n v="4"/>
    <n v="9362"/>
    <n v="10"/>
    <x v="1"/>
    <x v="1"/>
    <n v="37448"/>
    <n v="3744.8"/>
    <n v="33703.199999999997"/>
    <x v="3"/>
    <n v="2026"/>
  </r>
  <r>
    <n v="1170"/>
    <x v="21"/>
    <x v="0"/>
    <x v="1"/>
    <x v="2"/>
    <x v="1"/>
    <n v="10"/>
    <n v="9770"/>
    <n v="5"/>
    <x v="0"/>
    <x v="0"/>
    <n v="97700"/>
    <n v="4885"/>
    <n v="92815"/>
    <x v="1"/>
    <n v="2026"/>
  </r>
  <r>
    <n v="1171"/>
    <x v="53"/>
    <x v="9"/>
    <x v="0"/>
    <x v="1"/>
    <x v="0"/>
    <n v="10"/>
    <n v="634"/>
    <n v="0"/>
    <x v="1"/>
    <x v="2"/>
    <n v="6340"/>
    <n v="0"/>
    <n v="6340"/>
    <x v="1"/>
    <n v="2026"/>
  </r>
  <r>
    <n v="1172"/>
    <x v="28"/>
    <x v="3"/>
    <x v="1"/>
    <x v="7"/>
    <x v="0"/>
    <n v="2"/>
    <n v="6941"/>
    <n v="5"/>
    <x v="1"/>
    <x v="2"/>
    <n v="13882"/>
    <n v="694.1"/>
    <n v="13187.9"/>
    <x v="3"/>
    <n v="2026"/>
  </r>
  <r>
    <n v="1173"/>
    <x v="70"/>
    <x v="8"/>
    <x v="1"/>
    <x v="5"/>
    <x v="0"/>
    <n v="4"/>
    <n v="9186"/>
    <n v="10"/>
    <x v="1"/>
    <x v="1"/>
    <n v="36744"/>
    <n v="3674.4"/>
    <n v="33069.599999999999"/>
    <x v="1"/>
    <n v="2026"/>
  </r>
  <r>
    <n v="1174"/>
    <x v="33"/>
    <x v="7"/>
    <x v="0"/>
    <x v="4"/>
    <x v="0"/>
    <n v="1"/>
    <n v="14923"/>
    <n v="0"/>
    <x v="1"/>
    <x v="2"/>
    <n v="14923"/>
    <n v="0"/>
    <n v="14923"/>
    <x v="0"/>
    <n v="2026"/>
  </r>
  <r>
    <n v="1175"/>
    <x v="71"/>
    <x v="3"/>
    <x v="3"/>
    <x v="7"/>
    <x v="0"/>
    <n v="7"/>
    <n v="7336"/>
    <n v="0"/>
    <x v="0"/>
    <x v="2"/>
    <n v="51352"/>
    <n v="0"/>
    <n v="51352"/>
    <x v="0"/>
    <n v="2026"/>
  </r>
  <r>
    <n v="1176"/>
    <x v="72"/>
    <x v="4"/>
    <x v="0"/>
    <x v="6"/>
    <x v="1"/>
    <n v="9"/>
    <n v="3625"/>
    <n v="0"/>
    <x v="1"/>
    <x v="1"/>
    <n v="32625"/>
    <n v="0"/>
    <n v="32625"/>
    <x v="1"/>
    <n v="2026"/>
  </r>
  <r>
    <n v="1177"/>
    <x v="71"/>
    <x v="6"/>
    <x v="0"/>
    <x v="6"/>
    <x v="1"/>
    <n v="4"/>
    <n v="3128"/>
    <n v="15"/>
    <x v="1"/>
    <x v="1"/>
    <n v="12512"/>
    <n v="1876.8"/>
    <n v="10635.2"/>
    <x v="0"/>
    <n v="2026"/>
  </r>
  <r>
    <n v="1178"/>
    <x v="43"/>
    <x v="9"/>
    <x v="2"/>
    <x v="4"/>
    <x v="0"/>
    <n v="1"/>
    <n v="14786"/>
    <n v="5"/>
    <x v="0"/>
    <x v="2"/>
    <n v="14786"/>
    <n v="739.30000000000007"/>
    <n v="14046.7"/>
    <x v="0"/>
    <n v="2026"/>
  </r>
  <r>
    <n v="1179"/>
    <x v="73"/>
    <x v="7"/>
    <x v="2"/>
    <x v="5"/>
    <x v="0"/>
    <n v="5"/>
    <n v="8897"/>
    <n v="15"/>
    <x v="1"/>
    <x v="2"/>
    <n v="44485"/>
    <n v="6672.75"/>
    <n v="37812.25"/>
    <x v="0"/>
    <n v="2026"/>
  </r>
  <r>
    <n v="1180"/>
    <x v="58"/>
    <x v="3"/>
    <x v="2"/>
    <x v="5"/>
    <x v="0"/>
    <n v="7"/>
    <n v="8526"/>
    <n v="0"/>
    <x v="1"/>
    <x v="2"/>
    <n v="59682"/>
    <n v="0"/>
    <n v="59682"/>
    <x v="0"/>
    <n v="2026"/>
  </r>
  <r>
    <n v="1181"/>
    <x v="13"/>
    <x v="1"/>
    <x v="2"/>
    <x v="7"/>
    <x v="0"/>
    <n v="7"/>
    <n v="7424"/>
    <n v="10"/>
    <x v="1"/>
    <x v="0"/>
    <n v="51968"/>
    <n v="5196.8"/>
    <n v="46771.199999999997"/>
    <x v="1"/>
    <n v="2026"/>
  </r>
  <r>
    <n v="1182"/>
    <x v="33"/>
    <x v="7"/>
    <x v="0"/>
    <x v="1"/>
    <x v="0"/>
    <n v="2"/>
    <n v="1246"/>
    <n v="5"/>
    <x v="1"/>
    <x v="0"/>
    <n v="2492"/>
    <n v="124.60000000000001"/>
    <n v="2367.4"/>
    <x v="0"/>
    <n v="2026"/>
  </r>
  <r>
    <n v="1186"/>
    <x v="66"/>
    <x v="5"/>
    <x v="2"/>
    <x v="5"/>
    <x v="0"/>
    <n v="10"/>
    <n v="9095"/>
    <n v="10"/>
    <x v="0"/>
    <x v="0"/>
    <n v="90950"/>
    <n v="9095"/>
    <n v="81855"/>
    <x v="1"/>
    <n v="2026"/>
  </r>
  <r>
    <n v="1187"/>
    <x v="74"/>
    <x v="9"/>
    <x v="0"/>
    <x v="6"/>
    <x v="1"/>
    <n v="1"/>
    <n v="3629"/>
    <n v="15"/>
    <x v="1"/>
    <x v="0"/>
    <n v="3629"/>
    <n v="544.35"/>
    <n v="3084.65"/>
    <x v="0"/>
    <n v="2026"/>
  </r>
  <r>
    <n v="1188"/>
    <x v="2"/>
    <x v="6"/>
    <x v="3"/>
    <x v="7"/>
    <x v="0"/>
    <n v="8"/>
    <n v="6963"/>
    <n v="0"/>
    <x v="0"/>
    <x v="2"/>
    <n v="55704"/>
    <n v="0"/>
    <n v="55704"/>
    <x v="0"/>
    <n v="2026"/>
  </r>
  <r>
    <n v="1189"/>
    <x v="35"/>
    <x v="4"/>
    <x v="2"/>
    <x v="0"/>
    <x v="0"/>
    <n v="3"/>
    <n v="368"/>
    <n v="0"/>
    <x v="1"/>
    <x v="2"/>
    <n v="1104"/>
    <n v="0"/>
    <n v="1104"/>
    <x v="3"/>
    <n v="2026"/>
  </r>
  <r>
    <n v="1190"/>
    <x v="63"/>
    <x v="11"/>
    <x v="0"/>
    <x v="6"/>
    <x v="1"/>
    <n v="3"/>
    <n v="3506"/>
    <n v="10"/>
    <x v="0"/>
    <x v="1"/>
    <n v="10518"/>
    <n v="1051.8"/>
    <n v="9466.2000000000007"/>
    <x v="3"/>
    <n v="2026"/>
  </r>
  <r>
    <n v="1191"/>
    <x v="53"/>
    <x v="2"/>
    <x v="2"/>
    <x v="5"/>
    <x v="0"/>
    <n v="3"/>
    <n v="8553"/>
    <n v="5"/>
    <x v="0"/>
    <x v="1"/>
    <n v="25659"/>
    <n v="1282.95"/>
    <n v="24376.05"/>
    <x v="1"/>
    <n v="2026"/>
  </r>
  <r>
    <n v="1192"/>
    <x v="40"/>
    <x v="10"/>
    <x v="1"/>
    <x v="7"/>
    <x v="0"/>
    <n v="10"/>
    <n v="6548"/>
    <n v="15"/>
    <x v="1"/>
    <x v="1"/>
    <n v="65480"/>
    <n v="9822"/>
    <n v="55658"/>
    <x v="1"/>
    <n v="2026"/>
  </r>
  <r>
    <n v="1193"/>
    <x v="9"/>
    <x v="7"/>
    <x v="1"/>
    <x v="6"/>
    <x v="1"/>
    <n v="9"/>
    <n v="3112"/>
    <n v="0"/>
    <x v="0"/>
    <x v="1"/>
    <n v="28008"/>
    <n v="0"/>
    <n v="28008"/>
    <x v="0"/>
    <n v="2026"/>
  </r>
  <r>
    <n v="1194"/>
    <x v="25"/>
    <x v="11"/>
    <x v="2"/>
    <x v="2"/>
    <x v="1"/>
    <n v="10"/>
    <n v="10387"/>
    <n v="0"/>
    <x v="0"/>
    <x v="2"/>
    <n v="103870"/>
    <n v="0"/>
    <n v="103870"/>
    <x v="3"/>
    <n v="2026"/>
  </r>
  <r>
    <n v="1195"/>
    <x v="27"/>
    <x v="10"/>
    <x v="0"/>
    <x v="5"/>
    <x v="0"/>
    <n v="10"/>
    <n v="8714"/>
    <n v="5"/>
    <x v="0"/>
    <x v="1"/>
    <n v="87140"/>
    <n v="4357"/>
    <n v="82783"/>
    <x v="0"/>
    <n v="2026"/>
  </r>
  <r>
    <n v="1196"/>
    <x v="22"/>
    <x v="6"/>
    <x v="1"/>
    <x v="2"/>
    <x v="1"/>
    <n v="7"/>
    <n v="9827"/>
    <n v="10"/>
    <x v="1"/>
    <x v="1"/>
    <n v="68789"/>
    <n v="6878.9000000000005"/>
    <n v="61910.1"/>
    <x v="1"/>
    <n v="2026"/>
  </r>
  <r>
    <n v="1197"/>
    <x v="75"/>
    <x v="3"/>
    <x v="3"/>
    <x v="1"/>
    <x v="0"/>
    <n v="9"/>
    <n v="472"/>
    <n v="10"/>
    <x v="1"/>
    <x v="0"/>
    <n v="4248"/>
    <n v="424.8"/>
    <n v="3823.2"/>
    <x v="0"/>
    <n v="2026"/>
  </r>
  <r>
    <n v="1198"/>
    <x v="42"/>
    <x v="4"/>
    <x v="3"/>
    <x v="2"/>
    <x v="1"/>
    <n v="8"/>
    <n v="9768"/>
    <n v="10"/>
    <x v="0"/>
    <x v="2"/>
    <n v="78144"/>
    <n v="7814.4000000000005"/>
    <n v="70329.600000000006"/>
    <x v="1"/>
    <n v="2026"/>
  </r>
  <r>
    <n v="1199"/>
    <x v="71"/>
    <x v="11"/>
    <x v="0"/>
    <x v="1"/>
    <x v="0"/>
    <n v="5"/>
    <n v="769"/>
    <n v="5"/>
    <x v="0"/>
    <x v="2"/>
    <n v="3845"/>
    <n v="192.25"/>
    <n v="3652.75"/>
    <x v="0"/>
    <n v="2026"/>
  </r>
  <r>
    <n v="1200"/>
    <x v="5"/>
    <x v="4"/>
    <x v="0"/>
    <x v="4"/>
    <x v="0"/>
    <n v="7"/>
    <n v="14592"/>
    <n v="10"/>
    <x v="0"/>
    <x v="0"/>
    <n v="102144"/>
    <n v="10214.400000000001"/>
    <n v="91929.600000000006"/>
    <x v="2"/>
    <n v="2026"/>
  </r>
  <r>
    <n v="1201"/>
    <x v="59"/>
    <x v="9"/>
    <x v="0"/>
    <x v="2"/>
    <x v="1"/>
    <n v="4"/>
    <n v="10428"/>
    <n v="5"/>
    <x v="0"/>
    <x v="0"/>
    <n v="41712"/>
    <n v="2085.6"/>
    <n v="39626.400000000001"/>
    <x v="0"/>
    <n v="2026"/>
  </r>
  <r>
    <n v="1202"/>
    <x v="28"/>
    <x v="7"/>
    <x v="0"/>
    <x v="4"/>
    <x v="0"/>
    <n v="3"/>
    <n v="14998"/>
    <n v="10"/>
    <x v="1"/>
    <x v="1"/>
    <n v="44994"/>
    <n v="4499.4000000000005"/>
    <n v="40494.6"/>
    <x v="3"/>
    <n v="2026"/>
  </r>
  <r>
    <n v="1203"/>
    <x v="65"/>
    <x v="9"/>
    <x v="3"/>
    <x v="7"/>
    <x v="0"/>
    <n v="9"/>
    <n v="7146"/>
    <n v="15"/>
    <x v="0"/>
    <x v="2"/>
    <n v="64314"/>
    <n v="9647.1"/>
    <n v="54666.9"/>
    <x v="3"/>
    <n v="2026"/>
  </r>
  <r>
    <n v="1204"/>
    <x v="76"/>
    <x v="3"/>
    <x v="1"/>
    <x v="6"/>
    <x v="1"/>
    <n v="2"/>
    <n v="3735"/>
    <n v="5"/>
    <x v="0"/>
    <x v="1"/>
    <n v="7470"/>
    <n v="373.5"/>
    <n v="7096.5"/>
    <x v="1"/>
    <n v="2026"/>
  </r>
  <r>
    <n v="1205"/>
    <x v="1"/>
    <x v="1"/>
    <x v="1"/>
    <x v="5"/>
    <x v="0"/>
    <n v="7"/>
    <n v="8723"/>
    <n v="10"/>
    <x v="0"/>
    <x v="0"/>
    <n v="61061"/>
    <n v="6106.1"/>
    <n v="54954.9"/>
    <x v="1"/>
    <n v="2026"/>
  </r>
  <r>
    <n v="1206"/>
    <x v="63"/>
    <x v="10"/>
    <x v="0"/>
    <x v="3"/>
    <x v="1"/>
    <n v="8"/>
    <n v="801"/>
    <n v="15"/>
    <x v="1"/>
    <x v="2"/>
    <n v="6408"/>
    <n v="961.19999999999993"/>
    <n v="5446.8"/>
    <x v="3"/>
    <n v="2026"/>
  </r>
  <r>
    <n v="1207"/>
    <x v="18"/>
    <x v="3"/>
    <x v="1"/>
    <x v="1"/>
    <x v="0"/>
    <n v="2"/>
    <n v="857"/>
    <n v="5"/>
    <x v="1"/>
    <x v="0"/>
    <n v="1714"/>
    <n v="85.7"/>
    <n v="1628.3"/>
    <x v="3"/>
    <n v="2026"/>
  </r>
  <r>
    <n v="1208"/>
    <x v="17"/>
    <x v="10"/>
    <x v="2"/>
    <x v="6"/>
    <x v="1"/>
    <n v="4"/>
    <n v="3124"/>
    <n v="10"/>
    <x v="0"/>
    <x v="2"/>
    <n v="12496"/>
    <n v="1249.6000000000001"/>
    <n v="11246.4"/>
    <x v="3"/>
    <n v="2026"/>
  </r>
  <r>
    <n v="1209"/>
    <x v="53"/>
    <x v="1"/>
    <x v="1"/>
    <x v="2"/>
    <x v="1"/>
    <n v="6"/>
    <n v="10085"/>
    <n v="0"/>
    <x v="1"/>
    <x v="2"/>
    <n v="60510"/>
    <n v="0"/>
    <n v="60510"/>
    <x v="1"/>
    <n v="2026"/>
  </r>
  <r>
    <n v="1210"/>
    <x v="22"/>
    <x v="0"/>
    <x v="2"/>
    <x v="5"/>
    <x v="0"/>
    <n v="10"/>
    <n v="8537"/>
    <n v="10"/>
    <x v="1"/>
    <x v="2"/>
    <n v="85370"/>
    <n v="8537"/>
    <n v="76833"/>
    <x v="1"/>
    <n v="2026"/>
  </r>
  <r>
    <n v="1211"/>
    <x v="76"/>
    <x v="9"/>
    <x v="0"/>
    <x v="1"/>
    <x v="0"/>
    <n v="9"/>
    <n v="630"/>
    <n v="5"/>
    <x v="1"/>
    <x v="2"/>
    <n v="5670"/>
    <n v="283.5"/>
    <n v="5386.5"/>
    <x v="1"/>
    <n v="2026"/>
  </r>
  <r>
    <n v="1212"/>
    <x v="62"/>
    <x v="11"/>
    <x v="0"/>
    <x v="1"/>
    <x v="0"/>
    <n v="1"/>
    <n v="784"/>
    <n v="0"/>
    <x v="1"/>
    <x v="2"/>
    <n v="784"/>
    <n v="0"/>
    <n v="784"/>
    <x v="0"/>
    <n v="2026"/>
  </r>
  <r>
    <n v="1213"/>
    <x v="77"/>
    <x v="8"/>
    <x v="3"/>
    <x v="2"/>
    <x v="1"/>
    <n v="7"/>
    <n v="9980"/>
    <n v="10"/>
    <x v="0"/>
    <x v="0"/>
    <n v="69860"/>
    <n v="6986"/>
    <n v="62874"/>
    <x v="1"/>
    <n v="2026"/>
  </r>
  <r>
    <n v="1214"/>
    <x v="22"/>
    <x v="2"/>
    <x v="0"/>
    <x v="5"/>
    <x v="0"/>
    <n v="5"/>
    <n v="8945"/>
    <n v="5"/>
    <x v="0"/>
    <x v="1"/>
    <n v="44725"/>
    <n v="2236.25"/>
    <n v="42488.75"/>
    <x v="1"/>
    <n v="2026"/>
  </r>
  <r>
    <n v="1215"/>
    <x v="7"/>
    <x v="5"/>
    <x v="1"/>
    <x v="1"/>
    <x v="0"/>
    <n v="7"/>
    <n v="1045"/>
    <n v="10"/>
    <x v="1"/>
    <x v="1"/>
    <n v="7315"/>
    <n v="731.5"/>
    <n v="6583.5"/>
    <x v="1"/>
    <n v="2026"/>
  </r>
  <r>
    <n v="1216"/>
    <x v="30"/>
    <x v="11"/>
    <x v="1"/>
    <x v="4"/>
    <x v="0"/>
    <n v="1"/>
    <n v="15118"/>
    <n v="5"/>
    <x v="0"/>
    <x v="1"/>
    <n v="15118"/>
    <n v="755.90000000000009"/>
    <n v="14362.1"/>
    <x v="1"/>
    <n v="2026"/>
  </r>
  <r>
    <n v="1217"/>
    <x v="78"/>
    <x v="4"/>
    <x v="0"/>
    <x v="2"/>
    <x v="1"/>
    <n v="1"/>
    <n v="10125"/>
    <n v="0"/>
    <x v="1"/>
    <x v="0"/>
    <n v="10125"/>
    <n v="0"/>
    <n v="10125"/>
    <x v="0"/>
    <n v="2026"/>
  </r>
  <r>
    <n v="1218"/>
    <x v="8"/>
    <x v="11"/>
    <x v="3"/>
    <x v="5"/>
    <x v="0"/>
    <n v="1"/>
    <n v="8911"/>
    <n v="10"/>
    <x v="0"/>
    <x v="2"/>
    <n v="8911"/>
    <n v="891.1"/>
    <n v="8019.9"/>
    <x v="1"/>
    <n v="2026"/>
  </r>
  <r>
    <n v="1219"/>
    <x v="11"/>
    <x v="7"/>
    <x v="1"/>
    <x v="1"/>
    <x v="0"/>
    <n v="2"/>
    <n v="750"/>
    <n v="15"/>
    <x v="1"/>
    <x v="2"/>
    <n v="1500"/>
    <n v="225"/>
    <n v="1275"/>
    <x v="3"/>
    <n v="2026"/>
  </r>
  <r>
    <n v="1220"/>
    <x v="79"/>
    <x v="2"/>
    <x v="0"/>
    <x v="3"/>
    <x v="1"/>
    <n v="3"/>
    <n v="868"/>
    <n v="10"/>
    <x v="1"/>
    <x v="1"/>
    <n v="2604"/>
    <n v="260.40000000000003"/>
    <n v="2343.6"/>
    <x v="3"/>
    <n v="2026"/>
  </r>
  <r>
    <n v="1221"/>
    <x v="78"/>
    <x v="9"/>
    <x v="0"/>
    <x v="1"/>
    <x v="0"/>
    <n v="10"/>
    <n v="630"/>
    <n v="5"/>
    <x v="0"/>
    <x v="1"/>
    <n v="6300"/>
    <n v="315"/>
    <n v="5985"/>
    <x v="0"/>
    <n v="2026"/>
  </r>
  <r>
    <n v="1222"/>
    <x v="76"/>
    <x v="10"/>
    <x v="2"/>
    <x v="7"/>
    <x v="0"/>
    <n v="7"/>
    <n v="6612"/>
    <n v="15"/>
    <x v="1"/>
    <x v="0"/>
    <n v="46284"/>
    <n v="6942.5999999999995"/>
    <n v="39341.4"/>
    <x v="1"/>
    <n v="2026"/>
  </r>
  <r>
    <n v="1223"/>
    <x v="29"/>
    <x v="3"/>
    <x v="2"/>
    <x v="4"/>
    <x v="0"/>
    <n v="10"/>
    <n v="15075"/>
    <n v="10"/>
    <x v="1"/>
    <x v="0"/>
    <n v="150750"/>
    <n v="15075"/>
    <n v="135675"/>
    <x v="3"/>
    <n v="2026"/>
  </r>
  <r>
    <n v="1224"/>
    <x v="29"/>
    <x v="0"/>
    <x v="0"/>
    <x v="2"/>
    <x v="1"/>
    <n v="5"/>
    <n v="9959"/>
    <n v="10"/>
    <x v="1"/>
    <x v="2"/>
    <n v="49795"/>
    <n v="4979.5"/>
    <n v="44815.5"/>
    <x v="3"/>
    <n v="2026"/>
  </r>
  <r>
    <n v="1225"/>
    <x v="33"/>
    <x v="8"/>
    <x v="0"/>
    <x v="5"/>
    <x v="0"/>
    <n v="8"/>
    <n v="9463"/>
    <n v="15"/>
    <x v="1"/>
    <x v="1"/>
    <n v="75704"/>
    <n v="11355.6"/>
    <n v="64348.4"/>
    <x v="0"/>
    <n v="2026"/>
  </r>
  <r>
    <n v="1226"/>
    <x v="80"/>
    <x v="9"/>
    <x v="1"/>
    <x v="1"/>
    <x v="0"/>
    <n v="6"/>
    <n v="472"/>
    <n v="0"/>
    <x v="1"/>
    <x v="0"/>
    <n v="2832"/>
    <n v="0"/>
    <n v="2832"/>
    <x v="0"/>
    <n v="2026"/>
  </r>
  <r>
    <n v="1227"/>
    <x v="25"/>
    <x v="8"/>
    <x v="1"/>
    <x v="2"/>
    <x v="1"/>
    <n v="5"/>
    <n v="10226"/>
    <n v="5"/>
    <x v="0"/>
    <x v="1"/>
    <n v="51130"/>
    <n v="2556.5"/>
    <n v="48573.5"/>
    <x v="3"/>
    <n v="2026"/>
  </r>
  <r>
    <n v="1228"/>
    <x v="67"/>
    <x v="0"/>
    <x v="0"/>
    <x v="4"/>
    <x v="0"/>
    <n v="5"/>
    <n v="15347"/>
    <n v="15"/>
    <x v="1"/>
    <x v="0"/>
    <n v="76735"/>
    <n v="11510.25"/>
    <n v="65224.75"/>
    <x v="1"/>
    <n v="2026"/>
  </r>
  <r>
    <n v="1230"/>
    <x v="30"/>
    <x v="0"/>
    <x v="3"/>
    <x v="5"/>
    <x v="0"/>
    <n v="9"/>
    <n v="8638"/>
    <n v="15"/>
    <x v="1"/>
    <x v="1"/>
    <n v="77742"/>
    <n v="11661.3"/>
    <n v="66080.7"/>
    <x v="1"/>
    <n v="2026"/>
  </r>
  <r>
    <n v="1232"/>
    <x v="81"/>
    <x v="6"/>
    <x v="0"/>
    <x v="1"/>
    <x v="0"/>
    <n v="4"/>
    <n v="613"/>
    <n v="0"/>
    <x v="0"/>
    <x v="1"/>
    <n v="2452"/>
    <n v="0"/>
    <n v="2452"/>
    <x v="3"/>
    <n v="2026"/>
  </r>
  <r>
    <n v="1233"/>
    <x v="61"/>
    <x v="1"/>
    <x v="3"/>
    <x v="6"/>
    <x v="1"/>
    <n v="6"/>
    <n v="3671"/>
    <n v="0"/>
    <x v="0"/>
    <x v="0"/>
    <n v="22026"/>
    <n v="0"/>
    <n v="22026"/>
    <x v="3"/>
    <n v="2026"/>
  </r>
  <r>
    <n v="1234"/>
    <x v="81"/>
    <x v="8"/>
    <x v="3"/>
    <x v="5"/>
    <x v="0"/>
    <n v="9"/>
    <n v="9071"/>
    <n v="5"/>
    <x v="0"/>
    <x v="2"/>
    <n v="81639"/>
    <n v="4081.9500000000003"/>
    <n v="77557.05"/>
    <x v="3"/>
    <n v="2026"/>
  </r>
  <r>
    <n v="1235"/>
    <x v="23"/>
    <x v="8"/>
    <x v="0"/>
    <x v="3"/>
    <x v="1"/>
    <n v="7"/>
    <n v="1254"/>
    <n v="0"/>
    <x v="1"/>
    <x v="2"/>
    <n v="8778"/>
    <n v="0"/>
    <n v="8778"/>
    <x v="0"/>
    <n v="2026"/>
  </r>
  <r>
    <n v="1237"/>
    <x v="46"/>
    <x v="1"/>
    <x v="3"/>
    <x v="0"/>
    <x v="0"/>
    <n v="7"/>
    <n v="349"/>
    <n v="10"/>
    <x v="0"/>
    <x v="1"/>
    <n v="2443"/>
    <n v="244.3"/>
    <n v="2198.6999999999998"/>
    <x v="1"/>
    <n v="2026"/>
  </r>
  <r>
    <n v="1238"/>
    <x v="24"/>
    <x v="1"/>
    <x v="1"/>
    <x v="1"/>
    <x v="0"/>
    <n v="3"/>
    <n v="937"/>
    <n v="5"/>
    <x v="0"/>
    <x v="1"/>
    <n v="2811"/>
    <n v="140.55000000000001"/>
    <n v="2670.45"/>
    <x v="0"/>
    <n v="2026"/>
  </r>
  <r>
    <n v="1239"/>
    <x v="7"/>
    <x v="5"/>
    <x v="1"/>
    <x v="1"/>
    <x v="0"/>
    <n v="1"/>
    <n v="875"/>
    <n v="0"/>
    <x v="0"/>
    <x v="0"/>
    <n v="875"/>
    <n v="0"/>
    <n v="875"/>
    <x v="1"/>
    <n v="2026"/>
  </r>
  <r>
    <n v="1240"/>
    <x v="60"/>
    <x v="8"/>
    <x v="0"/>
    <x v="1"/>
    <x v="0"/>
    <n v="9"/>
    <n v="769"/>
    <n v="10"/>
    <x v="0"/>
    <x v="0"/>
    <n v="6921"/>
    <n v="692.1"/>
    <n v="6228.9"/>
    <x v="3"/>
    <n v="2026"/>
  </r>
  <r>
    <n v="1242"/>
    <x v="46"/>
    <x v="5"/>
    <x v="3"/>
    <x v="6"/>
    <x v="1"/>
    <n v="3"/>
    <n v="3710"/>
    <n v="0"/>
    <x v="1"/>
    <x v="2"/>
    <n v="11130"/>
    <n v="0"/>
    <n v="11130"/>
    <x v="1"/>
    <n v="2026"/>
  </r>
  <r>
    <n v="1244"/>
    <x v="82"/>
    <x v="6"/>
    <x v="0"/>
    <x v="1"/>
    <x v="0"/>
    <n v="1"/>
    <n v="524"/>
    <n v="5"/>
    <x v="0"/>
    <x v="2"/>
    <n v="524"/>
    <n v="26.200000000000003"/>
    <n v="497.8"/>
    <x v="1"/>
    <n v="2026"/>
  </r>
  <r>
    <n v="1245"/>
    <x v="83"/>
    <x v="1"/>
    <x v="0"/>
    <x v="3"/>
    <x v="1"/>
    <n v="8"/>
    <n v="1077"/>
    <n v="0"/>
    <x v="1"/>
    <x v="1"/>
    <n v="8616"/>
    <n v="0"/>
    <n v="8616"/>
    <x v="1"/>
    <n v="2026"/>
  </r>
  <r>
    <n v="1246"/>
    <x v="29"/>
    <x v="0"/>
    <x v="1"/>
    <x v="4"/>
    <x v="0"/>
    <n v="9"/>
    <n v="15391"/>
    <n v="5"/>
    <x v="0"/>
    <x v="0"/>
    <n v="138519"/>
    <n v="6925.9500000000007"/>
    <n v="131593.04999999999"/>
    <x v="3"/>
    <n v="2026"/>
  </r>
  <r>
    <n v="1247"/>
    <x v="52"/>
    <x v="2"/>
    <x v="0"/>
    <x v="6"/>
    <x v="1"/>
    <n v="5"/>
    <n v="3757"/>
    <n v="5"/>
    <x v="0"/>
    <x v="2"/>
    <n v="18785"/>
    <n v="939.25"/>
    <n v="17845.75"/>
    <x v="3"/>
    <n v="2026"/>
  </r>
  <r>
    <n v="1249"/>
    <x v="58"/>
    <x v="2"/>
    <x v="3"/>
    <x v="6"/>
    <x v="1"/>
    <n v="7"/>
    <n v="3805"/>
    <n v="5"/>
    <x v="1"/>
    <x v="1"/>
    <n v="26635"/>
    <n v="1331.75"/>
    <n v="25303.25"/>
    <x v="0"/>
    <n v="2026"/>
  </r>
  <r>
    <n v="1250"/>
    <x v="46"/>
    <x v="9"/>
    <x v="0"/>
    <x v="2"/>
    <x v="1"/>
    <n v="1"/>
    <n v="9637"/>
    <n v="5"/>
    <x v="1"/>
    <x v="0"/>
    <n v="9637"/>
    <n v="481.85"/>
    <n v="9155.15"/>
    <x v="1"/>
    <n v="2026"/>
  </r>
  <r>
    <n v="1251"/>
    <x v="37"/>
    <x v="1"/>
    <x v="0"/>
    <x v="3"/>
    <x v="1"/>
    <n v="4"/>
    <n v="800"/>
    <n v="15"/>
    <x v="0"/>
    <x v="1"/>
    <n v="3200"/>
    <n v="480"/>
    <n v="2720"/>
    <x v="3"/>
    <n v="2026"/>
  </r>
  <r>
    <n v="1252"/>
    <x v="38"/>
    <x v="5"/>
    <x v="3"/>
    <x v="3"/>
    <x v="1"/>
    <n v="5"/>
    <n v="1405"/>
    <n v="15"/>
    <x v="1"/>
    <x v="1"/>
    <n v="7025"/>
    <n v="1053.75"/>
    <n v="5971.25"/>
    <x v="3"/>
    <n v="2026"/>
  </r>
  <r>
    <n v="1253"/>
    <x v="46"/>
    <x v="3"/>
    <x v="1"/>
    <x v="2"/>
    <x v="1"/>
    <n v="8"/>
    <n v="9759"/>
    <n v="15"/>
    <x v="0"/>
    <x v="2"/>
    <n v="78072"/>
    <n v="11710.8"/>
    <n v="66361.2"/>
    <x v="1"/>
    <n v="2026"/>
  </r>
  <r>
    <n v="1254"/>
    <x v="58"/>
    <x v="5"/>
    <x v="3"/>
    <x v="3"/>
    <x v="1"/>
    <n v="4"/>
    <n v="916"/>
    <n v="15"/>
    <x v="1"/>
    <x v="2"/>
    <n v="3664"/>
    <n v="549.6"/>
    <n v="3114.4"/>
    <x v="0"/>
    <n v="2026"/>
  </r>
  <r>
    <n v="1255"/>
    <x v="29"/>
    <x v="4"/>
    <x v="1"/>
    <x v="2"/>
    <x v="1"/>
    <n v="5"/>
    <n v="10219"/>
    <n v="15"/>
    <x v="1"/>
    <x v="1"/>
    <n v="51095"/>
    <n v="7664.25"/>
    <n v="43430.75"/>
    <x v="3"/>
    <n v="2026"/>
  </r>
  <r>
    <n v="1256"/>
    <x v="31"/>
    <x v="7"/>
    <x v="0"/>
    <x v="2"/>
    <x v="1"/>
    <n v="8"/>
    <n v="10470"/>
    <n v="5"/>
    <x v="1"/>
    <x v="2"/>
    <n v="83760"/>
    <n v="4188"/>
    <n v="79572"/>
    <x v="0"/>
    <n v="2026"/>
  </r>
  <r>
    <n v="1257"/>
    <x v="84"/>
    <x v="10"/>
    <x v="1"/>
    <x v="3"/>
    <x v="1"/>
    <n v="4"/>
    <n v="1214"/>
    <n v="10"/>
    <x v="1"/>
    <x v="2"/>
    <n v="4856"/>
    <n v="485.6"/>
    <n v="4370.3999999999996"/>
    <x v="1"/>
    <n v="2026"/>
  </r>
  <r>
    <n v="1258"/>
    <x v="42"/>
    <x v="2"/>
    <x v="0"/>
    <x v="4"/>
    <x v="0"/>
    <n v="10"/>
    <n v="14869"/>
    <n v="10"/>
    <x v="0"/>
    <x v="2"/>
    <n v="148690"/>
    <n v="14869"/>
    <n v="133821"/>
    <x v="1"/>
    <n v="2026"/>
  </r>
  <r>
    <n v="1259"/>
    <x v="70"/>
    <x v="9"/>
    <x v="1"/>
    <x v="6"/>
    <x v="1"/>
    <n v="8"/>
    <n v="3660"/>
    <n v="15"/>
    <x v="0"/>
    <x v="2"/>
    <n v="29280"/>
    <n v="4392"/>
    <n v="24888"/>
    <x v="1"/>
    <n v="2026"/>
  </r>
  <r>
    <n v="1260"/>
    <x v="25"/>
    <x v="7"/>
    <x v="3"/>
    <x v="5"/>
    <x v="0"/>
    <n v="9"/>
    <n v="9021"/>
    <n v="5"/>
    <x v="0"/>
    <x v="0"/>
    <n v="81189"/>
    <n v="4059.4500000000003"/>
    <n v="77129.55"/>
    <x v="3"/>
    <n v="2026"/>
  </r>
  <r>
    <n v="1261"/>
    <x v="85"/>
    <x v="4"/>
    <x v="2"/>
    <x v="3"/>
    <x v="1"/>
    <n v="1"/>
    <n v="1516"/>
    <n v="5"/>
    <x v="1"/>
    <x v="2"/>
    <n v="1516"/>
    <n v="75.8"/>
    <n v="1440.2"/>
    <x v="3"/>
    <n v="2026"/>
  </r>
  <r>
    <n v="1262"/>
    <x v="7"/>
    <x v="4"/>
    <x v="0"/>
    <x v="6"/>
    <x v="1"/>
    <n v="1"/>
    <n v="3479"/>
    <n v="10"/>
    <x v="1"/>
    <x v="0"/>
    <n v="3479"/>
    <n v="347.90000000000003"/>
    <n v="3131.1"/>
    <x v="1"/>
    <n v="2026"/>
  </r>
  <r>
    <n v="1263"/>
    <x v="63"/>
    <x v="0"/>
    <x v="0"/>
    <x v="3"/>
    <x v="1"/>
    <n v="7"/>
    <n v="1564"/>
    <n v="15"/>
    <x v="1"/>
    <x v="1"/>
    <n v="10948"/>
    <n v="1642.2"/>
    <n v="9305.7999999999993"/>
    <x v="3"/>
    <n v="2026"/>
  </r>
  <r>
    <n v="1264"/>
    <x v="12"/>
    <x v="4"/>
    <x v="0"/>
    <x v="0"/>
    <x v="0"/>
    <n v="6"/>
    <n v="635"/>
    <n v="10"/>
    <x v="1"/>
    <x v="1"/>
    <n v="3810"/>
    <n v="381"/>
    <n v="3429"/>
    <x v="0"/>
    <n v="2026"/>
  </r>
  <r>
    <n v="1265"/>
    <x v="39"/>
    <x v="10"/>
    <x v="0"/>
    <x v="1"/>
    <x v="0"/>
    <n v="7"/>
    <n v="944"/>
    <n v="0"/>
    <x v="1"/>
    <x v="2"/>
    <n v="6608"/>
    <n v="0"/>
    <n v="6608"/>
    <x v="1"/>
    <n v="2026"/>
  </r>
  <r>
    <n v="1267"/>
    <x v="10"/>
    <x v="0"/>
    <x v="2"/>
    <x v="7"/>
    <x v="0"/>
    <n v="1"/>
    <n v="6580"/>
    <n v="5"/>
    <x v="1"/>
    <x v="2"/>
    <n v="6580"/>
    <n v="329"/>
    <n v="6251"/>
    <x v="0"/>
    <n v="2026"/>
  </r>
  <r>
    <n v="1268"/>
    <x v="40"/>
    <x v="6"/>
    <x v="1"/>
    <x v="3"/>
    <x v="1"/>
    <n v="9"/>
    <n v="1501"/>
    <n v="5"/>
    <x v="0"/>
    <x v="1"/>
    <n v="13509"/>
    <n v="675.45"/>
    <n v="12833.55"/>
    <x v="1"/>
    <n v="2026"/>
  </r>
  <r>
    <n v="1269"/>
    <x v="20"/>
    <x v="1"/>
    <x v="2"/>
    <x v="2"/>
    <x v="1"/>
    <n v="2"/>
    <n v="10302"/>
    <n v="5"/>
    <x v="0"/>
    <x v="2"/>
    <n v="20604"/>
    <n v="1030.2"/>
    <n v="19573.8"/>
    <x v="3"/>
    <n v="2026"/>
  </r>
  <r>
    <n v="1270"/>
    <x v="28"/>
    <x v="11"/>
    <x v="2"/>
    <x v="2"/>
    <x v="1"/>
    <n v="10"/>
    <n v="9608"/>
    <n v="15"/>
    <x v="1"/>
    <x v="1"/>
    <n v="96080"/>
    <n v="14412"/>
    <n v="81668"/>
    <x v="3"/>
    <n v="2026"/>
  </r>
  <r>
    <n v="1271"/>
    <x v="43"/>
    <x v="7"/>
    <x v="0"/>
    <x v="1"/>
    <x v="0"/>
    <n v="1"/>
    <n v="1280"/>
    <n v="10"/>
    <x v="0"/>
    <x v="2"/>
    <n v="1280"/>
    <n v="128"/>
    <n v="1152"/>
    <x v="0"/>
    <n v="2026"/>
  </r>
  <r>
    <n v="1272"/>
    <x v="54"/>
    <x v="3"/>
    <x v="0"/>
    <x v="0"/>
    <x v="0"/>
    <n v="7"/>
    <n v="9"/>
    <n v="10"/>
    <x v="1"/>
    <x v="2"/>
    <n v="63"/>
    <n v="6.3000000000000007"/>
    <n v="56.7"/>
    <x v="1"/>
    <n v="2026"/>
  </r>
  <r>
    <n v="1273"/>
    <x v="47"/>
    <x v="1"/>
    <x v="1"/>
    <x v="6"/>
    <x v="1"/>
    <n v="9"/>
    <n v="3567"/>
    <n v="15"/>
    <x v="0"/>
    <x v="2"/>
    <n v="32103"/>
    <n v="4815.45"/>
    <n v="27287.55"/>
    <x v="3"/>
    <n v="2026"/>
  </r>
  <r>
    <n v="1274"/>
    <x v="55"/>
    <x v="7"/>
    <x v="0"/>
    <x v="2"/>
    <x v="1"/>
    <n v="10"/>
    <n v="9888"/>
    <n v="15"/>
    <x v="0"/>
    <x v="1"/>
    <n v="98880"/>
    <n v="14832"/>
    <n v="84048"/>
    <x v="0"/>
    <n v="2026"/>
  </r>
  <r>
    <n v="1275"/>
    <x v="34"/>
    <x v="8"/>
    <x v="1"/>
    <x v="2"/>
    <x v="1"/>
    <n v="10"/>
    <n v="9677"/>
    <n v="5"/>
    <x v="0"/>
    <x v="0"/>
    <n v="96770"/>
    <n v="4838.5"/>
    <n v="91931.5"/>
    <x v="3"/>
    <n v="2026"/>
  </r>
  <r>
    <n v="1276"/>
    <x v="71"/>
    <x v="6"/>
    <x v="0"/>
    <x v="3"/>
    <x v="1"/>
    <n v="3"/>
    <n v="792"/>
    <n v="0"/>
    <x v="0"/>
    <x v="1"/>
    <n v="2376"/>
    <n v="0"/>
    <n v="2376"/>
    <x v="0"/>
    <n v="2026"/>
  </r>
  <r>
    <n v="1277"/>
    <x v="33"/>
    <x v="1"/>
    <x v="0"/>
    <x v="1"/>
    <x v="0"/>
    <n v="4"/>
    <n v="670"/>
    <n v="5"/>
    <x v="1"/>
    <x v="0"/>
    <n v="2680"/>
    <n v="134"/>
    <n v="2546"/>
    <x v="0"/>
    <n v="2026"/>
  </r>
  <r>
    <n v="1278"/>
    <x v="9"/>
    <x v="10"/>
    <x v="1"/>
    <x v="0"/>
    <x v="0"/>
    <n v="10"/>
    <n v="823"/>
    <n v="15"/>
    <x v="0"/>
    <x v="2"/>
    <n v="8230"/>
    <n v="1234.5"/>
    <n v="6995.5"/>
    <x v="0"/>
    <n v="2026"/>
  </r>
  <r>
    <n v="1279"/>
    <x v="55"/>
    <x v="2"/>
    <x v="1"/>
    <x v="3"/>
    <x v="1"/>
    <n v="7"/>
    <n v="700"/>
    <n v="10"/>
    <x v="0"/>
    <x v="1"/>
    <n v="4900"/>
    <n v="490"/>
    <n v="4410"/>
    <x v="0"/>
    <n v="2026"/>
  </r>
  <r>
    <n v="1280"/>
    <x v="35"/>
    <x v="0"/>
    <x v="1"/>
    <x v="0"/>
    <x v="0"/>
    <n v="6"/>
    <n v="130"/>
    <n v="0"/>
    <x v="1"/>
    <x v="1"/>
    <n v="780"/>
    <n v="0"/>
    <n v="780"/>
    <x v="3"/>
    <n v="2026"/>
  </r>
  <r>
    <n v="1281"/>
    <x v="11"/>
    <x v="0"/>
    <x v="2"/>
    <x v="3"/>
    <x v="1"/>
    <n v="1"/>
    <n v="789"/>
    <n v="5"/>
    <x v="0"/>
    <x v="0"/>
    <n v="789"/>
    <n v="39.450000000000003"/>
    <n v="749.55"/>
    <x v="3"/>
    <n v="2026"/>
  </r>
  <r>
    <n v="1282"/>
    <x v="51"/>
    <x v="11"/>
    <x v="0"/>
    <x v="2"/>
    <x v="1"/>
    <n v="1"/>
    <n v="10163"/>
    <n v="10"/>
    <x v="0"/>
    <x v="2"/>
    <n v="10163"/>
    <n v="1016.3000000000001"/>
    <n v="9146.7000000000007"/>
    <x v="1"/>
    <n v="2026"/>
  </r>
  <r>
    <n v="1283"/>
    <x v="46"/>
    <x v="7"/>
    <x v="1"/>
    <x v="1"/>
    <x v="0"/>
    <n v="10"/>
    <n v="1208"/>
    <n v="10"/>
    <x v="0"/>
    <x v="2"/>
    <n v="12080"/>
    <n v="1208"/>
    <n v="10872"/>
    <x v="1"/>
    <n v="2026"/>
  </r>
  <r>
    <n v="1284"/>
    <x v="41"/>
    <x v="2"/>
    <x v="1"/>
    <x v="6"/>
    <x v="1"/>
    <n v="6"/>
    <n v="3774"/>
    <n v="5"/>
    <x v="1"/>
    <x v="2"/>
    <n v="22644"/>
    <n v="1132.2"/>
    <n v="21511.8"/>
    <x v="1"/>
    <n v="2026"/>
  </r>
  <r>
    <n v="1285"/>
    <x v="48"/>
    <x v="5"/>
    <x v="3"/>
    <x v="2"/>
    <x v="1"/>
    <n v="5"/>
    <n v="9675"/>
    <n v="10"/>
    <x v="1"/>
    <x v="2"/>
    <n v="48375"/>
    <n v="4837.5"/>
    <n v="43537.5"/>
    <x v="1"/>
    <n v="2026"/>
  </r>
  <r>
    <n v="1286"/>
    <x v="38"/>
    <x v="7"/>
    <x v="0"/>
    <x v="6"/>
    <x v="1"/>
    <n v="9"/>
    <n v="3365"/>
    <n v="10"/>
    <x v="1"/>
    <x v="2"/>
    <n v="30285"/>
    <n v="3028.5"/>
    <n v="27256.5"/>
    <x v="3"/>
    <n v="2026"/>
  </r>
  <r>
    <n v="1287"/>
    <x v="83"/>
    <x v="1"/>
    <x v="1"/>
    <x v="3"/>
    <x v="1"/>
    <n v="8"/>
    <n v="1043"/>
    <n v="5"/>
    <x v="0"/>
    <x v="0"/>
    <n v="8344"/>
    <n v="417.20000000000005"/>
    <n v="7926.8"/>
    <x v="1"/>
    <n v="2026"/>
  </r>
  <r>
    <n v="1288"/>
    <x v="16"/>
    <x v="4"/>
    <x v="1"/>
    <x v="5"/>
    <x v="0"/>
    <n v="10"/>
    <n v="8815"/>
    <n v="0"/>
    <x v="0"/>
    <x v="1"/>
    <n v="88150"/>
    <n v="0"/>
    <n v="88150"/>
    <x v="0"/>
    <n v="2026"/>
  </r>
  <r>
    <n v="1289"/>
    <x v="4"/>
    <x v="4"/>
    <x v="0"/>
    <x v="7"/>
    <x v="0"/>
    <n v="4"/>
    <n v="6666"/>
    <n v="0"/>
    <x v="0"/>
    <x v="2"/>
    <n v="26664"/>
    <n v="0"/>
    <n v="26664"/>
    <x v="1"/>
    <n v="2026"/>
  </r>
  <r>
    <n v="1290"/>
    <x v="17"/>
    <x v="6"/>
    <x v="2"/>
    <x v="4"/>
    <x v="0"/>
    <n v="1"/>
    <n v="14722"/>
    <n v="10"/>
    <x v="1"/>
    <x v="2"/>
    <n v="14722"/>
    <n v="1472.2"/>
    <n v="13249.8"/>
    <x v="3"/>
    <n v="2026"/>
  </r>
  <r>
    <n v="1291"/>
    <x v="46"/>
    <x v="8"/>
    <x v="3"/>
    <x v="1"/>
    <x v="0"/>
    <n v="9"/>
    <n v="914"/>
    <n v="5"/>
    <x v="0"/>
    <x v="0"/>
    <n v="8226"/>
    <n v="411.3"/>
    <n v="7814.7"/>
    <x v="1"/>
    <n v="2026"/>
  </r>
  <r>
    <n v="1292"/>
    <x v="62"/>
    <x v="11"/>
    <x v="0"/>
    <x v="4"/>
    <x v="0"/>
    <n v="4"/>
    <n v="14934"/>
    <n v="10"/>
    <x v="0"/>
    <x v="0"/>
    <n v="59736"/>
    <n v="5973.6"/>
    <n v="53762.400000000001"/>
    <x v="0"/>
    <n v="2026"/>
  </r>
  <r>
    <n v="1293"/>
    <x v="29"/>
    <x v="7"/>
    <x v="2"/>
    <x v="1"/>
    <x v="0"/>
    <n v="10"/>
    <n v="1090"/>
    <n v="15"/>
    <x v="0"/>
    <x v="1"/>
    <n v="10900"/>
    <n v="1635"/>
    <n v="9265"/>
    <x v="3"/>
    <n v="2026"/>
  </r>
  <r>
    <n v="1294"/>
    <x v="4"/>
    <x v="6"/>
    <x v="3"/>
    <x v="7"/>
    <x v="0"/>
    <n v="10"/>
    <n v="7135"/>
    <n v="5"/>
    <x v="1"/>
    <x v="1"/>
    <n v="71350"/>
    <n v="3567.5"/>
    <n v="67782.5"/>
    <x v="1"/>
    <n v="2026"/>
  </r>
  <r>
    <n v="1295"/>
    <x v="10"/>
    <x v="5"/>
    <x v="1"/>
    <x v="3"/>
    <x v="1"/>
    <n v="2"/>
    <n v="1295"/>
    <n v="0"/>
    <x v="0"/>
    <x v="1"/>
    <n v="2590"/>
    <n v="0"/>
    <n v="2590"/>
    <x v="0"/>
    <n v="2026"/>
  </r>
  <r>
    <n v="1296"/>
    <x v="86"/>
    <x v="2"/>
    <x v="0"/>
    <x v="3"/>
    <x v="1"/>
    <n v="10"/>
    <n v="1284"/>
    <n v="5"/>
    <x v="0"/>
    <x v="1"/>
    <n v="12840"/>
    <n v="642"/>
    <n v="12198"/>
    <x v="1"/>
    <n v="2026"/>
  </r>
  <r>
    <n v="1297"/>
    <x v="11"/>
    <x v="11"/>
    <x v="0"/>
    <x v="0"/>
    <x v="0"/>
    <n v="5"/>
    <n v="683"/>
    <n v="0"/>
    <x v="1"/>
    <x v="2"/>
    <n v="3415"/>
    <n v="0"/>
    <n v="3415"/>
    <x v="3"/>
    <n v="2026"/>
  </r>
  <r>
    <n v="1298"/>
    <x v="9"/>
    <x v="8"/>
    <x v="1"/>
    <x v="5"/>
    <x v="0"/>
    <n v="3"/>
    <n v="8959"/>
    <n v="15"/>
    <x v="1"/>
    <x v="2"/>
    <n v="26877"/>
    <n v="4031.5499999999997"/>
    <n v="22845.45"/>
    <x v="0"/>
    <n v="2026"/>
  </r>
  <r>
    <n v="1299"/>
    <x v="56"/>
    <x v="6"/>
    <x v="2"/>
    <x v="4"/>
    <x v="0"/>
    <n v="10"/>
    <n v="15186"/>
    <n v="10"/>
    <x v="1"/>
    <x v="1"/>
    <n v="151860"/>
    <n v="15186"/>
    <n v="136674"/>
    <x v="1"/>
    <n v="2026"/>
  </r>
  <r>
    <n v="1300"/>
    <x v="63"/>
    <x v="8"/>
    <x v="0"/>
    <x v="3"/>
    <x v="1"/>
    <n v="2"/>
    <n v="1512"/>
    <n v="10"/>
    <x v="1"/>
    <x v="1"/>
    <n v="3024"/>
    <n v="302.40000000000003"/>
    <n v="2721.6"/>
    <x v="3"/>
    <n v="2026"/>
  </r>
  <r>
    <n v="1301"/>
    <x v="1"/>
    <x v="6"/>
    <x v="2"/>
    <x v="7"/>
    <x v="0"/>
    <n v="2"/>
    <n v="7253"/>
    <n v="5"/>
    <x v="0"/>
    <x v="1"/>
    <n v="14506"/>
    <n v="725.30000000000007"/>
    <n v="13780.7"/>
    <x v="1"/>
    <n v="2026"/>
  </r>
  <r>
    <n v="1302"/>
    <x v="25"/>
    <x v="8"/>
    <x v="0"/>
    <x v="0"/>
    <x v="0"/>
    <n v="8"/>
    <n v="429"/>
    <n v="0"/>
    <x v="0"/>
    <x v="1"/>
    <n v="3432"/>
    <n v="0"/>
    <n v="3432"/>
    <x v="3"/>
    <n v="2026"/>
  </r>
  <r>
    <n v="1303"/>
    <x v="17"/>
    <x v="3"/>
    <x v="2"/>
    <x v="2"/>
    <x v="1"/>
    <n v="8"/>
    <n v="9706"/>
    <n v="0"/>
    <x v="0"/>
    <x v="2"/>
    <n v="77648"/>
    <n v="0"/>
    <n v="77648"/>
    <x v="3"/>
    <n v="2026"/>
  </r>
  <r>
    <n v="1304"/>
    <x v="58"/>
    <x v="1"/>
    <x v="0"/>
    <x v="5"/>
    <x v="0"/>
    <n v="4"/>
    <n v="8882"/>
    <n v="15"/>
    <x v="1"/>
    <x v="0"/>
    <n v="35528"/>
    <n v="5329.2"/>
    <n v="30198.799999999999"/>
    <x v="0"/>
    <n v="2026"/>
  </r>
  <r>
    <n v="1305"/>
    <x v="7"/>
    <x v="10"/>
    <x v="2"/>
    <x v="2"/>
    <x v="1"/>
    <n v="1"/>
    <n v="9532"/>
    <n v="10"/>
    <x v="1"/>
    <x v="0"/>
    <n v="9532"/>
    <n v="953.2"/>
    <n v="8578.7999999999993"/>
    <x v="1"/>
    <n v="2026"/>
  </r>
  <r>
    <n v="1307"/>
    <x v="46"/>
    <x v="11"/>
    <x v="1"/>
    <x v="7"/>
    <x v="0"/>
    <n v="10"/>
    <n v="7407"/>
    <n v="10"/>
    <x v="1"/>
    <x v="1"/>
    <n v="74070"/>
    <n v="7407"/>
    <n v="66663"/>
    <x v="1"/>
    <n v="2026"/>
  </r>
  <r>
    <n v="1308"/>
    <x v="59"/>
    <x v="6"/>
    <x v="1"/>
    <x v="3"/>
    <x v="1"/>
    <n v="1"/>
    <n v="877"/>
    <n v="5"/>
    <x v="0"/>
    <x v="0"/>
    <n v="877"/>
    <n v="43.85"/>
    <n v="833.15"/>
    <x v="0"/>
    <n v="2026"/>
  </r>
  <r>
    <n v="1310"/>
    <x v="87"/>
    <x v="1"/>
    <x v="1"/>
    <x v="6"/>
    <x v="1"/>
    <n v="5"/>
    <n v="3141"/>
    <n v="10"/>
    <x v="1"/>
    <x v="2"/>
    <n v="15705"/>
    <n v="1570.5"/>
    <n v="14134.5"/>
    <x v="3"/>
    <n v="2026"/>
  </r>
  <r>
    <n v="1311"/>
    <x v="58"/>
    <x v="3"/>
    <x v="2"/>
    <x v="1"/>
    <x v="0"/>
    <n v="8"/>
    <n v="1250"/>
    <n v="15"/>
    <x v="1"/>
    <x v="2"/>
    <n v="10000"/>
    <n v="1500"/>
    <n v="8500"/>
    <x v="0"/>
    <n v="2026"/>
  </r>
  <r>
    <n v="1312"/>
    <x v="45"/>
    <x v="2"/>
    <x v="1"/>
    <x v="5"/>
    <x v="0"/>
    <n v="3"/>
    <n v="9489"/>
    <n v="15"/>
    <x v="0"/>
    <x v="2"/>
    <n v="28467"/>
    <n v="4270.05"/>
    <n v="24196.95"/>
    <x v="3"/>
    <n v="2026"/>
  </r>
  <r>
    <n v="1313"/>
    <x v="26"/>
    <x v="4"/>
    <x v="1"/>
    <x v="7"/>
    <x v="0"/>
    <n v="8"/>
    <n v="6968"/>
    <n v="10"/>
    <x v="1"/>
    <x v="1"/>
    <n v="55744"/>
    <n v="5574.4000000000005"/>
    <n v="50169.599999999999"/>
    <x v="3"/>
    <n v="2026"/>
  </r>
  <r>
    <n v="1314"/>
    <x v="5"/>
    <x v="9"/>
    <x v="0"/>
    <x v="7"/>
    <x v="0"/>
    <n v="6"/>
    <n v="7102"/>
    <n v="0"/>
    <x v="1"/>
    <x v="1"/>
    <n v="42612"/>
    <n v="0"/>
    <n v="42612"/>
    <x v="2"/>
    <n v="2026"/>
  </r>
  <r>
    <n v="1315"/>
    <x v="75"/>
    <x v="6"/>
    <x v="3"/>
    <x v="6"/>
    <x v="1"/>
    <n v="7"/>
    <n v="3579"/>
    <n v="10"/>
    <x v="1"/>
    <x v="1"/>
    <n v="25053"/>
    <n v="2505.3000000000002"/>
    <n v="22547.7"/>
    <x v="0"/>
    <n v="2026"/>
  </r>
  <r>
    <n v="1316"/>
    <x v="28"/>
    <x v="8"/>
    <x v="1"/>
    <x v="6"/>
    <x v="1"/>
    <n v="6"/>
    <n v="3640"/>
    <n v="10"/>
    <x v="1"/>
    <x v="1"/>
    <n v="21840"/>
    <n v="2184"/>
    <n v="19656"/>
    <x v="3"/>
    <n v="2026"/>
  </r>
  <r>
    <n v="1317"/>
    <x v="77"/>
    <x v="4"/>
    <x v="3"/>
    <x v="4"/>
    <x v="0"/>
    <n v="3"/>
    <n v="15087"/>
    <n v="15"/>
    <x v="0"/>
    <x v="1"/>
    <n v="45261"/>
    <n v="6789.15"/>
    <n v="38471.85"/>
    <x v="1"/>
    <n v="2026"/>
  </r>
  <r>
    <n v="1318"/>
    <x v="12"/>
    <x v="0"/>
    <x v="2"/>
    <x v="6"/>
    <x v="1"/>
    <n v="6"/>
    <n v="3906"/>
    <n v="15"/>
    <x v="1"/>
    <x v="0"/>
    <n v="23436"/>
    <n v="3515.4"/>
    <n v="19920.599999999999"/>
    <x v="0"/>
    <n v="2026"/>
  </r>
  <r>
    <n v="1319"/>
    <x v="41"/>
    <x v="4"/>
    <x v="1"/>
    <x v="6"/>
    <x v="1"/>
    <n v="7"/>
    <n v="3493"/>
    <n v="5"/>
    <x v="1"/>
    <x v="2"/>
    <n v="24451"/>
    <n v="1222.55"/>
    <n v="23228.45"/>
    <x v="1"/>
    <n v="2026"/>
  </r>
  <r>
    <n v="1320"/>
    <x v="67"/>
    <x v="6"/>
    <x v="1"/>
    <x v="5"/>
    <x v="0"/>
    <n v="6"/>
    <n v="9266"/>
    <n v="0"/>
    <x v="0"/>
    <x v="0"/>
    <n v="55596"/>
    <n v="0"/>
    <n v="55596"/>
    <x v="1"/>
    <n v="2026"/>
  </r>
  <r>
    <n v="1321"/>
    <x v="88"/>
    <x v="11"/>
    <x v="2"/>
    <x v="0"/>
    <x v="0"/>
    <n v="2"/>
    <n v="835"/>
    <n v="5"/>
    <x v="0"/>
    <x v="1"/>
    <n v="1670"/>
    <n v="83.5"/>
    <n v="1586.5"/>
    <x v="0"/>
    <n v="2026"/>
  </r>
  <r>
    <n v="1322"/>
    <x v="27"/>
    <x v="6"/>
    <x v="1"/>
    <x v="3"/>
    <x v="1"/>
    <n v="6"/>
    <n v="1238"/>
    <n v="5"/>
    <x v="0"/>
    <x v="1"/>
    <n v="7428"/>
    <n v="371.40000000000003"/>
    <n v="7056.6"/>
    <x v="0"/>
    <n v="2026"/>
  </r>
  <r>
    <n v="1323"/>
    <x v="42"/>
    <x v="0"/>
    <x v="1"/>
    <x v="7"/>
    <x v="0"/>
    <n v="7"/>
    <n v="6899"/>
    <n v="15"/>
    <x v="1"/>
    <x v="1"/>
    <n v="48293"/>
    <n v="7243.95"/>
    <n v="41049.050000000003"/>
    <x v="1"/>
    <n v="2026"/>
  </r>
  <r>
    <n v="1324"/>
    <x v="39"/>
    <x v="3"/>
    <x v="0"/>
    <x v="4"/>
    <x v="0"/>
    <n v="5"/>
    <n v="14956"/>
    <n v="5"/>
    <x v="0"/>
    <x v="0"/>
    <n v="74780"/>
    <n v="3739"/>
    <n v="71041"/>
    <x v="1"/>
    <n v="2026"/>
  </r>
  <r>
    <n v="1325"/>
    <x v="89"/>
    <x v="11"/>
    <x v="0"/>
    <x v="2"/>
    <x v="1"/>
    <n v="9"/>
    <n v="10146"/>
    <n v="15"/>
    <x v="0"/>
    <x v="2"/>
    <n v="91314"/>
    <n v="13697.1"/>
    <n v="77616.899999999994"/>
    <x v="0"/>
    <n v="2026"/>
  </r>
  <r>
    <n v="1326"/>
    <x v="4"/>
    <x v="7"/>
    <x v="2"/>
    <x v="1"/>
    <x v="0"/>
    <n v="5"/>
    <n v="1121"/>
    <n v="5"/>
    <x v="0"/>
    <x v="2"/>
    <n v="5605"/>
    <n v="280.25"/>
    <n v="5324.75"/>
    <x v="1"/>
    <n v="2026"/>
  </r>
  <r>
    <n v="1327"/>
    <x v="14"/>
    <x v="6"/>
    <x v="0"/>
    <x v="2"/>
    <x v="1"/>
    <n v="9"/>
    <n v="10345"/>
    <n v="15"/>
    <x v="0"/>
    <x v="0"/>
    <n v="93105"/>
    <n v="13965.75"/>
    <n v="79139.25"/>
    <x v="1"/>
    <n v="2026"/>
  </r>
  <r>
    <n v="1328"/>
    <x v="69"/>
    <x v="5"/>
    <x v="1"/>
    <x v="6"/>
    <x v="1"/>
    <n v="6"/>
    <n v="3174"/>
    <n v="10"/>
    <x v="0"/>
    <x v="0"/>
    <n v="19044"/>
    <n v="1904.4"/>
    <n v="17139.599999999999"/>
    <x v="3"/>
    <n v="2026"/>
  </r>
  <r>
    <n v="1329"/>
    <x v="5"/>
    <x v="0"/>
    <x v="0"/>
    <x v="6"/>
    <x v="1"/>
    <n v="10"/>
    <n v="3869"/>
    <n v="5"/>
    <x v="1"/>
    <x v="2"/>
    <n v="38690"/>
    <n v="1934.5"/>
    <n v="36755.5"/>
    <x v="2"/>
    <n v="2026"/>
  </r>
  <r>
    <n v="1330"/>
    <x v="9"/>
    <x v="9"/>
    <x v="1"/>
    <x v="7"/>
    <x v="0"/>
    <n v="4"/>
    <n v="7243"/>
    <n v="15"/>
    <x v="1"/>
    <x v="0"/>
    <n v="28972"/>
    <n v="4345.8"/>
    <n v="24626.2"/>
    <x v="0"/>
    <n v="2026"/>
  </r>
  <r>
    <n v="1331"/>
    <x v="11"/>
    <x v="1"/>
    <x v="1"/>
    <x v="5"/>
    <x v="0"/>
    <n v="8"/>
    <n v="8850"/>
    <n v="5"/>
    <x v="0"/>
    <x v="2"/>
    <n v="70800"/>
    <n v="3540"/>
    <n v="67260"/>
    <x v="3"/>
    <n v="2026"/>
  </r>
  <r>
    <n v="1332"/>
    <x v="67"/>
    <x v="5"/>
    <x v="2"/>
    <x v="3"/>
    <x v="1"/>
    <n v="4"/>
    <n v="882"/>
    <n v="0"/>
    <x v="0"/>
    <x v="0"/>
    <n v="3528"/>
    <n v="0"/>
    <n v="3528"/>
    <x v="1"/>
    <n v="2026"/>
  </r>
  <r>
    <n v="1333"/>
    <x v="26"/>
    <x v="4"/>
    <x v="0"/>
    <x v="6"/>
    <x v="1"/>
    <n v="3"/>
    <n v="3126"/>
    <n v="5"/>
    <x v="1"/>
    <x v="2"/>
    <n v="9378"/>
    <n v="468.90000000000003"/>
    <n v="8909.1"/>
    <x v="3"/>
    <n v="2026"/>
  </r>
  <r>
    <n v="1334"/>
    <x v="67"/>
    <x v="9"/>
    <x v="3"/>
    <x v="7"/>
    <x v="0"/>
    <n v="7"/>
    <n v="7334"/>
    <n v="5"/>
    <x v="0"/>
    <x v="0"/>
    <n v="51338"/>
    <n v="2566.9"/>
    <n v="48771.1"/>
    <x v="1"/>
    <n v="2026"/>
  </r>
  <r>
    <n v="1335"/>
    <x v="67"/>
    <x v="10"/>
    <x v="3"/>
    <x v="2"/>
    <x v="1"/>
    <n v="5"/>
    <n v="9505"/>
    <n v="0"/>
    <x v="1"/>
    <x v="1"/>
    <n v="47525"/>
    <n v="0"/>
    <n v="47525"/>
    <x v="1"/>
    <n v="2026"/>
  </r>
  <r>
    <n v="1336"/>
    <x v="64"/>
    <x v="2"/>
    <x v="1"/>
    <x v="1"/>
    <x v="0"/>
    <n v="10"/>
    <n v="1146"/>
    <n v="0"/>
    <x v="1"/>
    <x v="1"/>
    <n v="11460"/>
    <n v="0"/>
    <n v="11460"/>
    <x v="3"/>
    <n v="2026"/>
  </r>
  <r>
    <n v="1338"/>
    <x v="79"/>
    <x v="8"/>
    <x v="3"/>
    <x v="2"/>
    <x v="1"/>
    <n v="7"/>
    <n v="9729"/>
    <n v="0"/>
    <x v="1"/>
    <x v="0"/>
    <n v="68103"/>
    <n v="0"/>
    <n v="68103"/>
    <x v="3"/>
    <n v="2026"/>
  </r>
  <r>
    <n v="1339"/>
    <x v="45"/>
    <x v="10"/>
    <x v="0"/>
    <x v="2"/>
    <x v="1"/>
    <n v="6"/>
    <n v="10161"/>
    <n v="10"/>
    <x v="1"/>
    <x v="1"/>
    <n v="60966"/>
    <n v="6096.6"/>
    <n v="54869.4"/>
    <x v="3"/>
    <n v="2026"/>
  </r>
  <r>
    <n v="1340"/>
    <x v="60"/>
    <x v="10"/>
    <x v="1"/>
    <x v="4"/>
    <x v="0"/>
    <n v="6"/>
    <n v="14808"/>
    <n v="0"/>
    <x v="1"/>
    <x v="1"/>
    <n v="88848"/>
    <n v="0"/>
    <n v="88848"/>
    <x v="3"/>
    <n v="2026"/>
  </r>
  <r>
    <n v="1341"/>
    <x v="62"/>
    <x v="10"/>
    <x v="0"/>
    <x v="7"/>
    <x v="0"/>
    <n v="7"/>
    <n v="7328"/>
    <n v="5"/>
    <x v="0"/>
    <x v="0"/>
    <n v="51296"/>
    <n v="2564.8000000000002"/>
    <n v="48731.199999999997"/>
    <x v="0"/>
    <n v="2026"/>
  </r>
  <r>
    <n v="1342"/>
    <x v="31"/>
    <x v="10"/>
    <x v="0"/>
    <x v="5"/>
    <x v="0"/>
    <n v="1"/>
    <n v="8533"/>
    <n v="10"/>
    <x v="1"/>
    <x v="1"/>
    <n v="8533"/>
    <n v="853.30000000000007"/>
    <n v="7679.7"/>
    <x v="0"/>
    <n v="2026"/>
  </r>
  <r>
    <n v="1343"/>
    <x v="51"/>
    <x v="3"/>
    <x v="0"/>
    <x v="0"/>
    <x v="0"/>
    <n v="8"/>
    <n v="489"/>
    <n v="0"/>
    <x v="0"/>
    <x v="2"/>
    <n v="3912"/>
    <n v="0"/>
    <n v="3912"/>
    <x v="1"/>
    <n v="2026"/>
  </r>
  <r>
    <n v="1344"/>
    <x v="10"/>
    <x v="1"/>
    <x v="0"/>
    <x v="3"/>
    <x v="1"/>
    <n v="2"/>
    <n v="1625"/>
    <n v="0"/>
    <x v="1"/>
    <x v="2"/>
    <n v="3250"/>
    <n v="0"/>
    <n v="3250"/>
    <x v="0"/>
    <n v="2026"/>
  </r>
  <r>
    <n v="1345"/>
    <x v="45"/>
    <x v="9"/>
    <x v="0"/>
    <x v="2"/>
    <x v="1"/>
    <n v="1"/>
    <n v="10350"/>
    <n v="5"/>
    <x v="1"/>
    <x v="0"/>
    <n v="10350"/>
    <n v="517.5"/>
    <n v="9832.5"/>
    <x v="3"/>
    <n v="2026"/>
  </r>
  <r>
    <n v="1346"/>
    <x v="13"/>
    <x v="0"/>
    <x v="1"/>
    <x v="3"/>
    <x v="1"/>
    <n v="7"/>
    <n v="782"/>
    <n v="5"/>
    <x v="0"/>
    <x v="1"/>
    <n v="5474"/>
    <n v="273.7"/>
    <n v="5200.3"/>
    <x v="1"/>
    <n v="2026"/>
  </r>
  <r>
    <n v="1348"/>
    <x v="79"/>
    <x v="8"/>
    <x v="0"/>
    <x v="2"/>
    <x v="1"/>
    <n v="6"/>
    <n v="9872"/>
    <n v="5"/>
    <x v="0"/>
    <x v="2"/>
    <n v="59232"/>
    <n v="2961.6000000000004"/>
    <n v="56270.400000000001"/>
    <x v="3"/>
    <n v="2026"/>
  </r>
  <r>
    <n v="1349"/>
    <x v="85"/>
    <x v="3"/>
    <x v="2"/>
    <x v="0"/>
    <x v="0"/>
    <n v="9"/>
    <n v="346"/>
    <n v="0"/>
    <x v="1"/>
    <x v="0"/>
    <n v="3114"/>
    <n v="0"/>
    <n v="3114"/>
    <x v="3"/>
    <n v="2026"/>
  </r>
  <r>
    <n v="1350"/>
    <x v="33"/>
    <x v="4"/>
    <x v="0"/>
    <x v="0"/>
    <x v="0"/>
    <n v="10"/>
    <n v="911"/>
    <n v="15"/>
    <x v="0"/>
    <x v="1"/>
    <n v="9110"/>
    <n v="1366.5"/>
    <n v="7743.5"/>
    <x v="0"/>
    <n v="2026"/>
  </r>
  <r>
    <n v="1351"/>
    <x v="18"/>
    <x v="9"/>
    <x v="1"/>
    <x v="7"/>
    <x v="0"/>
    <n v="10"/>
    <n v="6550"/>
    <n v="0"/>
    <x v="0"/>
    <x v="0"/>
    <n v="65500"/>
    <n v="0"/>
    <n v="65500"/>
    <x v="3"/>
    <n v="2026"/>
  </r>
  <r>
    <n v="1352"/>
    <x v="65"/>
    <x v="8"/>
    <x v="1"/>
    <x v="0"/>
    <x v="0"/>
    <n v="9"/>
    <n v="534"/>
    <n v="10"/>
    <x v="0"/>
    <x v="2"/>
    <n v="4806"/>
    <n v="480.6"/>
    <n v="4325.3999999999996"/>
    <x v="3"/>
    <n v="2026"/>
  </r>
  <r>
    <n v="1353"/>
    <x v="85"/>
    <x v="5"/>
    <x v="3"/>
    <x v="4"/>
    <x v="0"/>
    <n v="6"/>
    <n v="15445"/>
    <n v="10"/>
    <x v="0"/>
    <x v="0"/>
    <n v="92670"/>
    <n v="9267"/>
    <n v="83403"/>
    <x v="3"/>
    <n v="2026"/>
  </r>
  <r>
    <n v="1354"/>
    <x v="47"/>
    <x v="2"/>
    <x v="0"/>
    <x v="1"/>
    <x v="0"/>
    <n v="9"/>
    <n v="745"/>
    <n v="5"/>
    <x v="0"/>
    <x v="2"/>
    <n v="6705"/>
    <n v="335.25"/>
    <n v="6369.75"/>
    <x v="3"/>
    <n v="2026"/>
  </r>
  <r>
    <n v="1355"/>
    <x v="15"/>
    <x v="1"/>
    <x v="2"/>
    <x v="7"/>
    <x v="0"/>
    <n v="3"/>
    <n v="6843"/>
    <n v="5"/>
    <x v="0"/>
    <x v="1"/>
    <n v="20529"/>
    <n v="1026.45"/>
    <n v="19502.55"/>
    <x v="0"/>
    <n v="2026"/>
  </r>
  <r>
    <n v="1356"/>
    <x v="38"/>
    <x v="0"/>
    <x v="0"/>
    <x v="3"/>
    <x v="1"/>
    <n v="3"/>
    <n v="1476"/>
    <n v="0"/>
    <x v="1"/>
    <x v="2"/>
    <n v="4428"/>
    <n v="0"/>
    <n v="4428"/>
    <x v="3"/>
    <n v="2026"/>
  </r>
  <r>
    <n v="1357"/>
    <x v="25"/>
    <x v="4"/>
    <x v="3"/>
    <x v="4"/>
    <x v="0"/>
    <n v="3"/>
    <n v="15312"/>
    <n v="0"/>
    <x v="1"/>
    <x v="2"/>
    <n v="45936"/>
    <n v="0"/>
    <n v="45936"/>
    <x v="3"/>
    <n v="2026"/>
  </r>
  <r>
    <n v="1358"/>
    <x v="73"/>
    <x v="5"/>
    <x v="0"/>
    <x v="7"/>
    <x v="0"/>
    <n v="2"/>
    <n v="7281"/>
    <n v="10"/>
    <x v="0"/>
    <x v="0"/>
    <n v="14562"/>
    <n v="1456.2"/>
    <n v="13105.8"/>
    <x v="0"/>
    <n v="2026"/>
  </r>
  <r>
    <n v="1359"/>
    <x v="29"/>
    <x v="6"/>
    <x v="3"/>
    <x v="4"/>
    <x v="0"/>
    <n v="3"/>
    <n v="15062"/>
    <n v="0"/>
    <x v="1"/>
    <x v="2"/>
    <n v="45186"/>
    <n v="0"/>
    <n v="45186"/>
    <x v="3"/>
    <n v="2026"/>
  </r>
  <r>
    <n v="1360"/>
    <x v="55"/>
    <x v="0"/>
    <x v="1"/>
    <x v="3"/>
    <x v="1"/>
    <n v="1"/>
    <n v="1281"/>
    <n v="5"/>
    <x v="0"/>
    <x v="2"/>
    <n v="1281"/>
    <n v="64.05"/>
    <n v="1216.95"/>
    <x v="0"/>
    <n v="2026"/>
  </r>
  <r>
    <n v="1361"/>
    <x v="35"/>
    <x v="1"/>
    <x v="0"/>
    <x v="6"/>
    <x v="1"/>
    <n v="3"/>
    <n v="3118"/>
    <n v="0"/>
    <x v="1"/>
    <x v="2"/>
    <n v="9354"/>
    <n v="0"/>
    <n v="9354"/>
    <x v="3"/>
    <n v="2026"/>
  </r>
  <r>
    <n v="1362"/>
    <x v="32"/>
    <x v="2"/>
    <x v="0"/>
    <x v="5"/>
    <x v="0"/>
    <n v="7"/>
    <n v="9472"/>
    <n v="5"/>
    <x v="0"/>
    <x v="0"/>
    <n v="66304"/>
    <n v="3315.2000000000003"/>
    <n v="62988.800000000003"/>
    <x v="0"/>
    <n v="2026"/>
  </r>
  <r>
    <n v="1363"/>
    <x v="84"/>
    <x v="4"/>
    <x v="1"/>
    <x v="1"/>
    <x v="0"/>
    <n v="9"/>
    <n v="630"/>
    <n v="15"/>
    <x v="1"/>
    <x v="0"/>
    <n v="5670"/>
    <n v="850.5"/>
    <n v="4819.5"/>
    <x v="1"/>
    <n v="2026"/>
  </r>
  <r>
    <n v="1364"/>
    <x v="83"/>
    <x v="8"/>
    <x v="0"/>
    <x v="7"/>
    <x v="0"/>
    <n v="9"/>
    <n v="6645"/>
    <n v="5"/>
    <x v="1"/>
    <x v="1"/>
    <n v="59805"/>
    <n v="2990.25"/>
    <n v="56814.75"/>
    <x v="1"/>
    <n v="2026"/>
  </r>
  <r>
    <n v="1365"/>
    <x v="43"/>
    <x v="2"/>
    <x v="1"/>
    <x v="5"/>
    <x v="0"/>
    <n v="10"/>
    <n v="8920"/>
    <n v="10"/>
    <x v="1"/>
    <x v="0"/>
    <n v="89200"/>
    <n v="8920"/>
    <n v="80280"/>
    <x v="0"/>
    <n v="2026"/>
  </r>
  <r>
    <n v="1366"/>
    <x v="3"/>
    <x v="2"/>
    <x v="0"/>
    <x v="6"/>
    <x v="1"/>
    <n v="10"/>
    <n v="3041"/>
    <n v="5"/>
    <x v="0"/>
    <x v="2"/>
    <n v="30410"/>
    <n v="1520.5"/>
    <n v="28889.5"/>
    <x v="0"/>
    <n v="2026"/>
  </r>
  <r>
    <n v="1368"/>
    <x v="14"/>
    <x v="1"/>
    <x v="0"/>
    <x v="6"/>
    <x v="1"/>
    <n v="6"/>
    <n v="3095"/>
    <n v="5"/>
    <x v="1"/>
    <x v="1"/>
    <n v="18570"/>
    <n v="928.5"/>
    <n v="17641.5"/>
    <x v="1"/>
    <n v="2026"/>
  </r>
  <r>
    <n v="1369"/>
    <x v="66"/>
    <x v="2"/>
    <x v="1"/>
    <x v="1"/>
    <x v="0"/>
    <n v="4"/>
    <n v="1240"/>
    <n v="0"/>
    <x v="1"/>
    <x v="0"/>
    <n v="4960"/>
    <n v="0"/>
    <n v="4960"/>
    <x v="1"/>
    <n v="2026"/>
  </r>
  <r>
    <n v="1370"/>
    <x v="4"/>
    <x v="1"/>
    <x v="1"/>
    <x v="7"/>
    <x v="0"/>
    <n v="2"/>
    <n v="7441"/>
    <n v="10"/>
    <x v="0"/>
    <x v="0"/>
    <n v="14882"/>
    <n v="1488.2"/>
    <n v="13393.8"/>
    <x v="1"/>
    <n v="2026"/>
  </r>
  <r>
    <n v="1371"/>
    <x v="28"/>
    <x v="10"/>
    <x v="2"/>
    <x v="2"/>
    <x v="1"/>
    <n v="3"/>
    <n v="10463"/>
    <n v="0"/>
    <x v="0"/>
    <x v="1"/>
    <n v="31389"/>
    <n v="0"/>
    <n v="31389"/>
    <x v="3"/>
    <n v="2026"/>
  </r>
  <r>
    <n v="1372"/>
    <x v="10"/>
    <x v="11"/>
    <x v="2"/>
    <x v="4"/>
    <x v="0"/>
    <n v="6"/>
    <n v="14526"/>
    <n v="5"/>
    <x v="1"/>
    <x v="2"/>
    <n v="87156"/>
    <n v="4357.8"/>
    <n v="82798.2"/>
    <x v="0"/>
    <n v="2026"/>
  </r>
  <r>
    <n v="1373"/>
    <x v="18"/>
    <x v="2"/>
    <x v="2"/>
    <x v="4"/>
    <x v="0"/>
    <n v="1"/>
    <n v="14899"/>
    <n v="5"/>
    <x v="0"/>
    <x v="0"/>
    <n v="14899"/>
    <n v="744.95"/>
    <n v="14154.05"/>
    <x v="3"/>
    <n v="2026"/>
  </r>
  <r>
    <n v="1374"/>
    <x v="25"/>
    <x v="6"/>
    <x v="2"/>
    <x v="3"/>
    <x v="1"/>
    <n v="10"/>
    <n v="867"/>
    <n v="0"/>
    <x v="0"/>
    <x v="0"/>
    <n v="8670"/>
    <n v="0"/>
    <n v="8670"/>
    <x v="3"/>
    <n v="2026"/>
  </r>
  <r>
    <n v="1376"/>
    <x v="1"/>
    <x v="7"/>
    <x v="0"/>
    <x v="5"/>
    <x v="0"/>
    <n v="9"/>
    <n v="8501"/>
    <n v="10"/>
    <x v="1"/>
    <x v="2"/>
    <n v="76509"/>
    <n v="7650.9000000000005"/>
    <n v="68858.100000000006"/>
    <x v="1"/>
    <n v="2026"/>
  </r>
  <r>
    <n v="1377"/>
    <x v="87"/>
    <x v="1"/>
    <x v="1"/>
    <x v="7"/>
    <x v="0"/>
    <n v="3"/>
    <n v="7335"/>
    <n v="0"/>
    <x v="1"/>
    <x v="2"/>
    <n v="22005"/>
    <n v="0"/>
    <n v="22005"/>
    <x v="3"/>
    <n v="2026"/>
  </r>
  <r>
    <n v="1378"/>
    <x v="57"/>
    <x v="8"/>
    <x v="0"/>
    <x v="6"/>
    <x v="1"/>
    <n v="10"/>
    <n v="3346"/>
    <n v="5"/>
    <x v="1"/>
    <x v="2"/>
    <n v="33460"/>
    <n v="1673"/>
    <n v="31787"/>
    <x v="1"/>
    <n v="2026"/>
  </r>
  <r>
    <n v="1379"/>
    <x v="4"/>
    <x v="11"/>
    <x v="0"/>
    <x v="0"/>
    <x v="0"/>
    <n v="6"/>
    <n v="53"/>
    <n v="10"/>
    <x v="0"/>
    <x v="2"/>
    <n v="318"/>
    <n v="31.8"/>
    <n v="286.2"/>
    <x v="1"/>
    <n v="2026"/>
  </r>
  <r>
    <n v="1380"/>
    <x v="78"/>
    <x v="10"/>
    <x v="1"/>
    <x v="0"/>
    <x v="0"/>
    <n v="1"/>
    <n v="99"/>
    <n v="15"/>
    <x v="0"/>
    <x v="1"/>
    <n v="99"/>
    <n v="14.85"/>
    <n v="84.15"/>
    <x v="0"/>
    <n v="2026"/>
  </r>
  <r>
    <n v="1381"/>
    <x v="13"/>
    <x v="3"/>
    <x v="1"/>
    <x v="0"/>
    <x v="0"/>
    <n v="6"/>
    <n v="96"/>
    <n v="15"/>
    <x v="0"/>
    <x v="0"/>
    <n v="576"/>
    <n v="86.399999999999991"/>
    <n v="489.6"/>
    <x v="1"/>
    <n v="2026"/>
  </r>
  <r>
    <n v="1382"/>
    <x v="16"/>
    <x v="9"/>
    <x v="0"/>
    <x v="0"/>
    <x v="0"/>
    <n v="2"/>
    <n v="493"/>
    <n v="10"/>
    <x v="0"/>
    <x v="1"/>
    <n v="986"/>
    <n v="98.600000000000009"/>
    <n v="887.4"/>
    <x v="0"/>
    <n v="2026"/>
  </r>
  <r>
    <n v="1383"/>
    <x v="51"/>
    <x v="0"/>
    <x v="1"/>
    <x v="7"/>
    <x v="0"/>
    <n v="10"/>
    <n v="7228"/>
    <n v="15"/>
    <x v="0"/>
    <x v="2"/>
    <n v="72280"/>
    <n v="10842"/>
    <n v="61438"/>
    <x v="1"/>
    <n v="2026"/>
  </r>
  <r>
    <n v="1385"/>
    <x v="50"/>
    <x v="5"/>
    <x v="1"/>
    <x v="4"/>
    <x v="0"/>
    <n v="5"/>
    <n v="14707"/>
    <n v="10"/>
    <x v="1"/>
    <x v="0"/>
    <n v="73535"/>
    <n v="7353.5"/>
    <n v="66181.5"/>
    <x v="3"/>
    <n v="2026"/>
  </r>
  <r>
    <n v="1386"/>
    <x v="55"/>
    <x v="3"/>
    <x v="3"/>
    <x v="1"/>
    <x v="0"/>
    <n v="6"/>
    <n v="1129"/>
    <n v="10"/>
    <x v="0"/>
    <x v="2"/>
    <n v="6774"/>
    <n v="677.40000000000009"/>
    <n v="6096.6"/>
    <x v="0"/>
    <n v="2026"/>
  </r>
  <r>
    <n v="1387"/>
    <x v="71"/>
    <x v="9"/>
    <x v="0"/>
    <x v="1"/>
    <x v="0"/>
    <n v="1"/>
    <n v="997"/>
    <n v="5"/>
    <x v="0"/>
    <x v="0"/>
    <n v="997"/>
    <n v="49.85"/>
    <n v="947.15"/>
    <x v="0"/>
    <n v="2026"/>
  </r>
  <r>
    <n v="1388"/>
    <x v="22"/>
    <x v="8"/>
    <x v="1"/>
    <x v="7"/>
    <x v="0"/>
    <n v="9"/>
    <n v="6717"/>
    <n v="15"/>
    <x v="0"/>
    <x v="0"/>
    <n v="60453"/>
    <n v="9067.9499999999989"/>
    <n v="51385.05"/>
    <x v="1"/>
    <n v="2026"/>
  </r>
  <r>
    <n v="1389"/>
    <x v="82"/>
    <x v="8"/>
    <x v="2"/>
    <x v="6"/>
    <x v="1"/>
    <n v="4"/>
    <n v="3461"/>
    <n v="15"/>
    <x v="0"/>
    <x v="1"/>
    <n v="13844"/>
    <n v="2076.6"/>
    <n v="11767.4"/>
    <x v="1"/>
    <n v="2026"/>
  </r>
  <r>
    <n v="1390"/>
    <x v="39"/>
    <x v="3"/>
    <x v="1"/>
    <x v="2"/>
    <x v="1"/>
    <n v="6"/>
    <n v="9828"/>
    <n v="15"/>
    <x v="0"/>
    <x v="1"/>
    <n v="58968"/>
    <n v="8845.1999999999989"/>
    <n v="50122.8"/>
    <x v="1"/>
    <n v="2026"/>
  </r>
  <r>
    <n v="1391"/>
    <x v="16"/>
    <x v="6"/>
    <x v="1"/>
    <x v="4"/>
    <x v="0"/>
    <n v="6"/>
    <n v="14690"/>
    <n v="5"/>
    <x v="1"/>
    <x v="0"/>
    <n v="88140"/>
    <n v="4407"/>
    <n v="83733"/>
    <x v="0"/>
    <n v="2026"/>
  </r>
  <r>
    <n v="1392"/>
    <x v="54"/>
    <x v="7"/>
    <x v="3"/>
    <x v="1"/>
    <x v="0"/>
    <n v="10"/>
    <n v="1133"/>
    <n v="10"/>
    <x v="1"/>
    <x v="0"/>
    <n v="11330"/>
    <n v="1133"/>
    <n v="10197"/>
    <x v="1"/>
    <n v="2026"/>
  </r>
  <r>
    <n v="1393"/>
    <x v="39"/>
    <x v="0"/>
    <x v="2"/>
    <x v="3"/>
    <x v="1"/>
    <n v="9"/>
    <n v="888"/>
    <n v="15"/>
    <x v="1"/>
    <x v="1"/>
    <n v="7992"/>
    <n v="1198.8"/>
    <n v="6793.2"/>
    <x v="1"/>
    <n v="2026"/>
  </r>
  <r>
    <n v="1394"/>
    <x v="3"/>
    <x v="8"/>
    <x v="0"/>
    <x v="3"/>
    <x v="1"/>
    <n v="5"/>
    <n v="897"/>
    <n v="5"/>
    <x v="0"/>
    <x v="1"/>
    <n v="4485"/>
    <n v="224.25"/>
    <n v="4260.75"/>
    <x v="0"/>
    <n v="2026"/>
  </r>
  <r>
    <n v="1395"/>
    <x v="9"/>
    <x v="1"/>
    <x v="0"/>
    <x v="3"/>
    <x v="1"/>
    <n v="10"/>
    <n v="1097"/>
    <n v="15"/>
    <x v="0"/>
    <x v="0"/>
    <n v="10970"/>
    <n v="1645.5"/>
    <n v="9324.5"/>
    <x v="0"/>
    <n v="2026"/>
  </r>
  <r>
    <n v="1396"/>
    <x v="68"/>
    <x v="6"/>
    <x v="3"/>
    <x v="1"/>
    <x v="0"/>
    <n v="4"/>
    <n v="1391"/>
    <n v="0"/>
    <x v="1"/>
    <x v="2"/>
    <n v="5564"/>
    <n v="0"/>
    <n v="5564"/>
    <x v="3"/>
    <n v="2026"/>
  </r>
  <r>
    <n v="1397"/>
    <x v="15"/>
    <x v="11"/>
    <x v="3"/>
    <x v="3"/>
    <x v="1"/>
    <n v="7"/>
    <n v="780"/>
    <n v="10"/>
    <x v="1"/>
    <x v="0"/>
    <n v="5460"/>
    <n v="546"/>
    <n v="4914"/>
    <x v="0"/>
    <n v="2026"/>
  </r>
  <r>
    <n v="1398"/>
    <x v="90"/>
    <x v="2"/>
    <x v="1"/>
    <x v="3"/>
    <x v="1"/>
    <n v="6"/>
    <n v="1185"/>
    <n v="15"/>
    <x v="1"/>
    <x v="2"/>
    <n v="7110"/>
    <n v="1066.5"/>
    <n v="6043.5"/>
    <x v="3"/>
    <n v="2026"/>
  </r>
  <r>
    <n v="1399"/>
    <x v="60"/>
    <x v="10"/>
    <x v="2"/>
    <x v="6"/>
    <x v="1"/>
    <n v="3"/>
    <n v="3875"/>
    <n v="0"/>
    <x v="1"/>
    <x v="2"/>
    <n v="11625"/>
    <n v="0"/>
    <n v="11625"/>
    <x v="3"/>
    <n v="2026"/>
  </r>
  <r>
    <n v="1400"/>
    <x v="26"/>
    <x v="2"/>
    <x v="0"/>
    <x v="7"/>
    <x v="0"/>
    <n v="9"/>
    <n v="7104"/>
    <n v="5"/>
    <x v="0"/>
    <x v="2"/>
    <n v="63936"/>
    <n v="3196.8"/>
    <n v="60739.199999999997"/>
    <x v="3"/>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sales by product"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3:B12"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axis="axisRow" compact="0" outline="0" showAll="0">
      <items count="9">
        <item x="3"/>
        <item x="6"/>
        <item x="1"/>
        <item x="4"/>
        <item x="7"/>
        <item x="0"/>
        <item x="5"/>
        <item x="2"/>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dataField="1" compact="0" outline="0" showAll="0"/>
    <pivotField compact="0" outline="0" showAll="0"/>
    <pivotField compact="0" outline="0" showAll="0"/>
  </pivotFields>
  <rowFields count="1">
    <field x="4"/>
  </rowFields>
  <rowItems count="9">
    <i>
      <x/>
    </i>
    <i>
      <x v="1"/>
    </i>
    <i>
      <x v="2"/>
    </i>
    <i>
      <x v="3"/>
    </i>
    <i>
      <x v="4"/>
    </i>
    <i>
      <x v="5"/>
    </i>
    <i>
      <x v="6"/>
    </i>
    <i>
      <x v="7"/>
    </i>
    <i t="grand">
      <x/>
    </i>
  </rowItems>
  <colItems count="1">
    <i/>
  </colItems>
  <dataFields count="1">
    <dataField name="Sum of Net Sales" fld="13" baseField="0" baseItem="0" numFmtId="1"/>
  </dataFields>
  <formats count="1">
    <format dxfId="39">
      <pivotArea outline="0" collapsedLevelsAreSubtotals="1" fieldPosition="0"/>
    </format>
  </formats>
  <chartFormats count="1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sales by city"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8" firstHeaderRow="1" firstDataRow="1" firstDataCol="1"/>
  <pivotFields count="16">
    <pivotField compact="0" outline="0" showAll="0"/>
    <pivotField compact="0" numFmtId="14" outline="0" showAll="0">
      <items count="92">
        <item x="34"/>
        <item x="29"/>
        <item x="35"/>
        <item x="65"/>
        <item x="90"/>
        <item x="85"/>
        <item x="60"/>
        <item x="81"/>
        <item x="26"/>
        <item x="44"/>
        <item x="50"/>
        <item x="68"/>
        <item x="36"/>
        <item x="49"/>
        <item x="47"/>
        <item x="52"/>
        <item x="87"/>
        <item x="20"/>
        <item x="63"/>
        <item x="17"/>
        <item x="61"/>
        <item x="11"/>
        <item x="64"/>
        <item x="38"/>
        <item x="18"/>
        <item x="28"/>
        <item x="69"/>
        <item x="37"/>
        <item x="25"/>
        <item x="79"/>
        <item x="45"/>
        <item x="27"/>
        <item x="88"/>
        <item x="73"/>
        <item x="32"/>
        <item x="43"/>
        <item x="2"/>
        <item x="15"/>
        <item x="19"/>
        <item x="71"/>
        <item x="24"/>
        <item x="78"/>
        <item x="10"/>
        <item x="62"/>
        <item x="12"/>
        <item x="16"/>
        <item x="31"/>
        <item x="0"/>
        <item x="74"/>
        <item x="80"/>
        <item x="9"/>
        <item x="55"/>
        <item x="58"/>
        <item x="3"/>
        <item x="75"/>
        <item x="33"/>
        <item x="89"/>
        <item x="59"/>
        <item x="23"/>
        <item x="48"/>
        <item x="13"/>
        <item x="46"/>
        <item x="51"/>
        <item x="39"/>
        <item x="21"/>
        <item x="82"/>
        <item x="72"/>
        <item x="70"/>
        <item x="84"/>
        <item x="8"/>
        <item x="86"/>
        <item x="76"/>
        <item x="54"/>
        <item x="40"/>
        <item x="41"/>
        <item x="30"/>
        <item x="57"/>
        <item x="22"/>
        <item x="14"/>
        <item x="56"/>
        <item x="66"/>
        <item x="67"/>
        <item x="7"/>
        <item x="42"/>
        <item x="4"/>
        <item x="53"/>
        <item x="1"/>
        <item x="83"/>
        <item x="6"/>
        <item x="77"/>
        <item x="5"/>
        <item t="default"/>
      </items>
    </pivotField>
    <pivotField compact="0" outline="0" showAll="0"/>
    <pivotField axis="axisRow" compact="0" outline="0" showAll="0">
      <items count="5">
        <item x="1"/>
        <item x="0"/>
        <item x="2"/>
        <item x="3"/>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dataField="1" compact="0" outline="0" showAll="0"/>
    <pivotField compact="0" outline="0" showAll="0"/>
    <pivotField compact="0" outline="0" showAll="0"/>
  </pivotFields>
  <rowFields count="1">
    <field x="3"/>
  </rowFields>
  <rowItems count="5">
    <i>
      <x/>
    </i>
    <i>
      <x v="1"/>
    </i>
    <i>
      <x v="2"/>
    </i>
    <i>
      <x v="3"/>
    </i>
    <i t="grand">
      <x/>
    </i>
  </rowItems>
  <colItems count="1">
    <i/>
  </colItems>
  <dataFields count="1">
    <dataField name="Sum of Net Sales" fld="13" baseField="0" baseItem="0" numFmtId="1"/>
  </dataFields>
  <formats count="1">
    <format dxfId="38">
      <pivotArea outline="0" collapsedLevelsAreSubtotals="1" fieldPosition="0"/>
    </format>
  </format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sales by payment method"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4:B7"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dataField="1" compact="0" outline="0" showAll="0"/>
    <pivotField compact="0" outline="0" showAll="0"/>
    <pivotField compact="0" outline="0" showAll="0"/>
  </pivotFields>
  <rowFields count="1">
    <field x="9"/>
  </rowFields>
  <rowItems count="3">
    <i>
      <x/>
    </i>
    <i>
      <x v="1"/>
    </i>
    <i t="grand">
      <x/>
    </i>
  </rowItems>
  <colItems count="1">
    <i/>
  </colItems>
  <dataFields count="1">
    <dataField name="Sum of Net Sales" fld="13" baseField="0" baseItem="0" numFmtId="1"/>
  </dataFields>
  <formats count="1">
    <format dxfId="37">
      <pivotArea outline="0" collapsedLevelsAreSubtotals="1" fieldPosition="0"/>
    </format>
  </formats>
  <chartFormats count="3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 chart="1" format="5">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9" count="1" selected="0">
            <x v="0"/>
          </reference>
        </references>
      </pivotArea>
    </chartFormat>
    <chartFormat chart="5" format="17">
      <pivotArea type="data" outline="0" fieldPosition="0">
        <references count="2">
          <reference field="4294967294" count="1" selected="0">
            <x v="0"/>
          </reference>
          <reference field="9"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9" count="1" selected="0">
            <x v="0"/>
          </reference>
        </references>
      </pivotArea>
    </chartFormat>
    <chartFormat chart="6" format="20">
      <pivotArea type="data" outline="0" fieldPosition="0">
        <references count="2">
          <reference field="4294967294" count="1" selected="0">
            <x v="0"/>
          </reference>
          <reference field="9" count="1" selected="0">
            <x v="1"/>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9" count="1" selected="0">
            <x v="0"/>
          </reference>
        </references>
      </pivotArea>
    </chartFormat>
    <chartFormat chart="7" format="23">
      <pivotArea type="data" outline="0" fieldPosition="0">
        <references count="2">
          <reference field="4294967294" count="1" selected="0">
            <x v="0"/>
          </reference>
          <reference field="9"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9" count="1" selected="0">
            <x v="0"/>
          </reference>
        </references>
      </pivotArea>
    </chartFormat>
    <chartFormat chart="9" format="5">
      <pivotArea type="data" outline="0" fieldPosition="0">
        <references count="2">
          <reference field="4294967294" count="1" selected="0">
            <x v="0"/>
          </reference>
          <reference field="9"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9" count="1" selected="0">
            <x v="0"/>
          </reference>
        </references>
      </pivotArea>
    </chartFormat>
    <chartFormat chart="10" format="8">
      <pivotArea type="data" outline="0" fieldPosition="0">
        <references count="2">
          <reference field="4294967294" count="1" selected="0">
            <x v="0"/>
          </reference>
          <reference field="9"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9" count="1" selected="0">
            <x v="0"/>
          </reference>
        </references>
      </pivotArea>
    </chartFormat>
    <chartFormat chart="11" format="11">
      <pivotArea type="data" outline="0" fieldPosition="0">
        <references count="2">
          <reference field="4294967294" count="1" selected="0">
            <x v="0"/>
          </reference>
          <reference field="9"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9" count="1" selected="0">
            <x v="0"/>
          </reference>
        </references>
      </pivotArea>
    </chartFormat>
    <chartFormat chart="13" format="5">
      <pivotArea type="data" outline="0" fieldPosition="0">
        <references count="2">
          <reference field="4294967294" count="1" selected="0">
            <x v="0"/>
          </reference>
          <reference field="9" count="1" selected="0">
            <x v="1"/>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9" count="1" selected="0">
            <x v="0"/>
          </reference>
        </references>
      </pivotArea>
    </chartFormat>
    <chartFormat chart="16" format="1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sales by category"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A4:B7"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dataField="1" compact="0" outline="0" showAll="0"/>
    <pivotField compact="0" outline="0" showAll="0"/>
    <pivotField compact="0" outline="0" showAll="0"/>
  </pivotFields>
  <rowFields count="1">
    <field x="5"/>
  </rowFields>
  <rowItems count="3">
    <i>
      <x/>
    </i>
    <i>
      <x v="1"/>
    </i>
    <i t="grand">
      <x/>
    </i>
  </rowItems>
  <colItems count="1">
    <i/>
  </colItems>
  <dataFields count="1">
    <dataField name="Sum of Net Sales" fld="13" baseField="0" baseItem="0" numFmtId="1"/>
  </dataFields>
  <formats count="1">
    <format dxfId="36">
      <pivotArea outline="0" collapsedLevelsAreSubtotals="1" fieldPosition="0"/>
    </format>
  </formats>
  <chartFormats count="54">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5" count="1" selected="0">
            <x v="0"/>
          </reference>
        </references>
      </pivotArea>
    </chartFormat>
    <chartFormat chart="1" format="5">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5" count="1" selected="0">
            <x v="0"/>
          </reference>
        </references>
      </pivotArea>
    </chartFormat>
    <chartFormat chart="8" format="20">
      <pivotArea type="data" outline="0" fieldPosition="0">
        <references count="2">
          <reference field="4294967294" count="1" selected="0">
            <x v="0"/>
          </reference>
          <reference field="5"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5" count="1" selected="0">
            <x v="0"/>
          </reference>
        </references>
      </pivotArea>
    </chartFormat>
    <chartFormat chart="9" format="5">
      <pivotArea type="data" outline="0" fieldPosition="0">
        <references count="2">
          <reference field="4294967294" count="1" selected="0">
            <x v="0"/>
          </reference>
          <reference field="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5" count="1" selected="0">
            <x v="0"/>
          </reference>
        </references>
      </pivotArea>
    </chartFormat>
    <chartFormat chart="11" format="11">
      <pivotArea type="data" outline="0" fieldPosition="0">
        <references count="2">
          <reference field="4294967294" count="1" selected="0">
            <x v="0"/>
          </reference>
          <reference field="5" count="1" selected="0">
            <x v="1"/>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5" count="1" selected="0">
            <x v="0"/>
          </reference>
        </references>
      </pivotArea>
    </chartFormat>
    <chartFormat chart="13" format="5">
      <pivotArea type="data" outline="0" fieldPosition="0">
        <references count="2">
          <reference field="4294967294" count="1" selected="0">
            <x v="0"/>
          </reference>
          <reference field="5"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0"/>
          </reference>
        </references>
      </pivotArea>
    </chartFormat>
    <chartFormat chart="14" format="8">
      <pivotArea type="data" outline="0" fieldPosition="0">
        <references count="2">
          <reference field="4294967294" count="1" selected="0">
            <x v="0"/>
          </reference>
          <reference field="5" count="1" selected="0">
            <x v="1"/>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5" count="1" selected="0">
            <x v="0"/>
          </reference>
        </references>
      </pivotArea>
    </chartFormat>
    <chartFormat chart="15" format="11">
      <pivotArea type="data" outline="0" fieldPosition="0">
        <references count="2">
          <reference field="4294967294" count="1" selected="0">
            <x v="0"/>
          </reference>
          <reference field="5" count="1" selected="0">
            <x v="1"/>
          </reference>
        </references>
      </pivotArea>
    </chartFormat>
    <chartFormat chart="17" format="15" series="1">
      <pivotArea type="data" outline="0" fieldPosition="0">
        <references count="1">
          <reference field="4294967294" count="1" selected="0">
            <x v="0"/>
          </reference>
        </references>
      </pivotArea>
    </chartFormat>
    <chartFormat chart="17" format="16">
      <pivotArea type="data" outline="0" fieldPosition="0">
        <references count="2">
          <reference field="4294967294" count="1" selected="0">
            <x v="0"/>
          </reference>
          <reference field="5" count="1" selected="0">
            <x v="0"/>
          </reference>
        </references>
      </pivotArea>
    </chartFormat>
    <chartFormat chart="17" format="17">
      <pivotArea type="data" outline="0" fieldPosition="0">
        <references count="2">
          <reference field="4294967294" count="1" selected="0">
            <x v="0"/>
          </reference>
          <reference field="5" count="1" selected="0">
            <x v="1"/>
          </reference>
        </references>
      </pivotArea>
    </chartFormat>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5" count="1" selected="0">
            <x v="0"/>
          </reference>
        </references>
      </pivotArea>
    </chartFormat>
    <chartFormat chart="18" format="20">
      <pivotArea type="data" outline="0" fieldPosition="0">
        <references count="2">
          <reference field="4294967294" count="1" selected="0">
            <x v="0"/>
          </reference>
          <reference field="5" count="1" selected="0">
            <x v="1"/>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5" count="1" selected="0">
            <x v="0"/>
          </reference>
        </references>
      </pivotArea>
    </chartFormat>
    <chartFormat chart="19" format="23">
      <pivotArea type="data" outline="0" fieldPosition="0">
        <references count="2">
          <reference field="4294967294" count="1" selected="0">
            <x v="0"/>
          </reference>
          <reference field="5" count="1" selected="0">
            <x v="1"/>
          </reference>
        </references>
      </pivotArea>
    </chartFormat>
    <chartFormat chart="21" format="27" series="1">
      <pivotArea type="data" outline="0" fieldPosition="0">
        <references count="1">
          <reference field="4294967294" count="1" selected="0">
            <x v="0"/>
          </reference>
        </references>
      </pivotArea>
    </chartFormat>
    <chartFormat chart="21" format="28">
      <pivotArea type="data" outline="0" fieldPosition="0">
        <references count="2">
          <reference field="4294967294" count="1" selected="0">
            <x v="0"/>
          </reference>
          <reference field="5" count="1" selected="0">
            <x v="0"/>
          </reference>
        </references>
      </pivotArea>
    </chartFormat>
    <chartFormat chart="21" format="29">
      <pivotArea type="data" outline="0" fieldPosition="0">
        <references count="2">
          <reference field="4294967294" count="1" selected="0">
            <x v="0"/>
          </reference>
          <reference field="5" count="1" selected="0">
            <x v="1"/>
          </reference>
        </references>
      </pivotArea>
    </chartFormat>
    <chartFormat chart="22" format="30" series="1">
      <pivotArea type="data" outline="0" fieldPosition="0">
        <references count="1">
          <reference field="4294967294" count="1" selected="0">
            <x v="0"/>
          </reference>
        </references>
      </pivotArea>
    </chartFormat>
    <chartFormat chart="22" format="31">
      <pivotArea type="data" outline="0" fieldPosition="0">
        <references count="2">
          <reference field="4294967294" count="1" selected="0">
            <x v="0"/>
          </reference>
          <reference field="5" count="1" selected="0">
            <x v="0"/>
          </reference>
        </references>
      </pivotArea>
    </chartFormat>
    <chartFormat chart="22" format="32">
      <pivotArea type="data" outline="0" fieldPosition="0">
        <references count="2">
          <reference field="4294967294" count="1" selected="0">
            <x v="0"/>
          </reference>
          <reference field="5" count="1" selected="0">
            <x v="1"/>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5" count="1" selected="0">
            <x v="0"/>
          </reference>
        </references>
      </pivotArea>
    </chartFormat>
    <chartFormat chart="25" format="12">
      <pivotArea type="data" outline="0" fieldPosition="0">
        <references count="2">
          <reference field="4294967294" count="1" selected="0">
            <x v="0"/>
          </reference>
          <reference field="5"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5" count="1" selected="0">
            <x v="0"/>
          </reference>
        </references>
      </pivotArea>
    </chartFormat>
    <chartFormat chart="2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sales by salesperson"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4:B8"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3">
        <item x="1"/>
        <item x="0"/>
        <item t="default"/>
      </items>
    </pivotField>
    <pivotField axis="axisRow" compact="0" outline="0" showAll="0">
      <items count="4">
        <item x="2"/>
        <item x="0"/>
        <item x="1"/>
        <item t="default"/>
      </items>
    </pivotField>
    <pivotField compact="0" outline="0" showAll="0"/>
    <pivotField compact="0" outline="0" showAll="0"/>
    <pivotField dataField="1" compact="0" outline="0" showAll="0"/>
    <pivotField compact="0" outline="0" showAll="0"/>
    <pivotField compact="0" outline="0" showAll="0"/>
  </pivotFields>
  <rowFields count="1">
    <field x="10"/>
  </rowFields>
  <rowItems count="4">
    <i>
      <x/>
    </i>
    <i>
      <x v="1"/>
    </i>
    <i>
      <x v="2"/>
    </i>
    <i t="grand">
      <x/>
    </i>
  </rowItems>
  <colItems count="1">
    <i/>
  </colItems>
  <dataFields count="1">
    <dataField name="Sum of Net Sales" fld="13" baseField="0" baseItem="0" numFmtId="1"/>
  </dataFields>
  <formats count="1">
    <format dxfId="35">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monthly sales"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4:B9"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dataField="1" compact="0" outline="0" showAll="0"/>
    <pivotField axis="axisRow" compact="0" outline="0" showAll="0">
      <items count="5">
        <item x="3"/>
        <item x="0"/>
        <item x="1"/>
        <item x="2"/>
        <item t="default"/>
      </items>
    </pivotField>
    <pivotField compact="0" outline="0" showAll="0"/>
  </pivotFields>
  <rowFields count="1">
    <field x="14"/>
  </rowFields>
  <rowItems count="5">
    <i>
      <x/>
    </i>
    <i>
      <x v="1"/>
    </i>
    <i>
      <x v="2"/>
    </i>
    <i>
      <x v="3"/>
    </i>
    <i t="grand">
      <x/>
    </i>
  </rowItems>
  <colItems count="1">
    <i/>
  </colItems>
  <dataFields count="1">
    <dataField name="Sum of Net Sales" fld="13"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quantity by product" cacheId="10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4:B13" firstHeaderRow="1" firstDataRow="1" firstDataCol="1"/>
  <pivotFields count="16">
    <pivotField compact="0" outline="0" showAll="0"/>
    <pivotField compact="0" numFmtId="14" outline="0" showAll="0"/>
    <pivotField compact="0" outline="0" showAll="0"/>
    <pivotField compact="0" outline="0" showAll="0">
      <items count="5">
        <item x="1"/>
        <item x="0"/>
        <item x="2"/>
        <item x="3"/>
        <item t="default"/>
      </items>
    </pivotField>
    <pivotField axis="axisRow" compact="0" outline="0" showAll="0">
      <items count="9">
        <item x="3"/>
        <item x="6"/>
        <item x="1"/>
        <item x="4"/>
        <item x="7"/>
        <item x="0"/>
        <item x="5"/>
        <item x="2"/>
        <item t="default"/>
      </items>
    </pivotField>
    <pivotField compact="0" outline="0" showAll="0">
      <items count="3">
        <item x="0"/>
        <item x="1"/>
        <item t="default"/>
      </items>
    </pivotField>
    <pivotField dataField="1" compact="0" outline="0" showAll="0"/>
    <pivotField compact="0" outline="0" showAll="0"/>
    <pivotField compact="0" outline="0" showAll="0"/>
    <pivotField compact="0" outline="0" showAll="0">
      <items count="3">
        <item x="1"/>
        <item x="0"/>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s>
  <rowFields count="1">
    <field x="4"/>
  </rowFields>
  <rowItems count="9">
    <i>
      <x/>
    </i>
    <i>
      <x v="1"/>
    </i>
    <i>
      <x v="2"/>
    </i>
    <i>
      <x v="3"/>
    </i>
    <i>
      <x v="4"/>
    </i>
    <i>
      <x v="5"/>
    </i>
    <i>
      <x v="6"/>
    </i>
    <i>
      <x v="7"/>
    </i>
    <i t="grand">
      <x/>
    </i>
  </rowItems>
  <colItems count="1">
    <i/>
  </colItems>
  <dataFields count="1">
    <dataField name="Sum of Quantity" fld="6"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1000000}" sourceName="Salesperson">
  <pivotTables>
    <pivotTable tabId="2" name="sales by product"/>
    <pivotTable tabId="4" name="sales by city"/>
    <pivotTable tabId="5" name="sales by payment method"/>
    <pivotTable tabId="3" name="sales by category"/>
    <pivotTable tabId="6" name="sales by salesperson"/>
    <pivotTable tabId="7" name="monthly sales"/>
    <pivotTable tabId="8" name="quantity by product"/>
  </pivotTables>
  <data>
    <tabular pivotCacheId="11358690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2" name="sales by product"/>
    <pivotTable tabId="7" name="monthly sales"/>
    <pivotTable tabId="8" name="quantity by product"/>
    <pivotTable tabId="3" name="sales by category"/>
    <pivotTable tabId="4" name="sales by city"/>
    <pivotTable tabId="5" name="sales by payment method"/>
    <pivotTable tabId="6" name="sales by salesperson"/>
  </pivotTables>
  <data>
    <tabular pivotCacheId="1135869030">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2" name="sales by product"/>
  </pivotTables>
  <data>
    <tabular pivotCacheId="113586903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4000000}" sourceName="Payment Method">
  <pivotTables>
    <pivotTable tabId="2" name="sales by product"/>
  </pivotTables>
  <data>
    <tabular pivotCacheId="11358690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0000000-0014-0000-FFFF-FFFF05000000}" cache="Slicer_Salesperson" caption="Salespers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00000000-0014-0000-FFFF-FFFF01000000}" cache="Slicer_Salesperson" caption="Salesperson" rowHeight="457200"/>
  <slicer name="City" xr10:uid="{00000000-0014-0000-FFFF-FFFF02000000}" cache="Slicer_City" caption="City" rowHeight="457200"/>
  <slicer name="Category" xr10:uid="{00000000-0014-0000-FFFF-FFFF03000000}" cache="Slicer_Category" caption="Category" rowHeight="457200"/>
  <slicer name="Payment Method" xr10:uid="{00000000-0014-0000-FFFF-FFFF04000000}" cache="Slicer_Payment_Method" caption="Payment Method"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 displayName="Main" ref="A1:P371" totalsRowCount="1" headerRowDxfId="33" dataDxfId="32">
  <autoFilter ref="A1:P370" xr:uid="{00000000-0009-0000-0100-000001000000}"/>
  <tableColumns count="16">
    <tableColumn id="1" xr3:uid="{00000000-0010-0000-0000-000001000000}" name="Order ID" totalsRowFunction="custom" dataDxfId="30" totalsRowDxfId="31">
      <totalsRowFormula>COUNTA(Main[Order ID])</totalsRowFormula>
    </tableColumn>
    <tableColumn id="2" xr3:uid="{00000000-0010-0000-0000-000002000000}" name="Order Date" dataDxfId="28" totalsRowDxfId="29"/>
    <tableColumn id="3" xr3:uid="{00000000-0010-0000-0000-000003000000}" name="Customer Name" dataDxfId="26" totalsRowDxfId="27"/>
    <tableColumn id="4" xr3:uid="{00000000-0010-0000-0000-000004000000}" name="City" dataDxfId="24" totalsRowDxfId="25"/>
    <tableColumn id="5" xr3:uid="{00000000-0010-0000-0000-000005000000}" name="Product" dataDxfId="22" totalsRowDxfId="23"/>
    <tableColumn id="6" xr3:uid="{00000000-0010-0000-0000-000006000000}" name="Category" dataDxfId="20" totalsRowDxfId="21"/>
    <tableColumn id="7" xr3:uid="{00000000-0010-0000-0000-000007000000}" name="Quantity" totalsRowFunction="sum" dataDxfId="18" totalsRowDxfId="19"/>
    <tableColumn id="8" xr3:uid="{00000000-0010-0000-0000-000008000000}" name="Unit Price" dataDxfId="16" totalsRowDxfId="17"/>
    <tableColumn id="9" xr3:uid="{00000000-0010-0000-0000-000009000000}" name="Discount %" dataDxfId="14" totalsRowDxfId="15"/>
    <tableColumn id="10" xr3:uid="{00000000-0010-0000-0000-00000A000000}" name="Payment Method" dataDxfId="12" totalsRowDxfId="13"/>
    <tableColumn id="11" xr3:uid="{00000000-0010-0000-0000-00000B000000}" name="Salesperson" dataDxfId="10" totalsRowDxfId="11"/>
    <tableColumn id="12" xr3:uid="{00000000-0010-0000-0000-00000C000000}" name="Total Sales" dataDxfId="8" totalsRowDxfId="9">
      <calculatedColumnFormula>G2*H2</calculatedColumnFormula>
    </tableColumn>
    <tableColumn id="13" xr3:uid="{00000000-0010-0000-0000-00000D000000}" name="Discount Amount" dataDxfId="6" totalsRowDxfId="7">
      <calculatedColumnFormula>L2*(I2/100)</calculatedColumnFormula>
    </tableColumn>
    <tableColumn id="14" xr3:uid="{00000000-0010-0000-0000-00000E000000}" name="Net Sales" totalsRowFunction="sum" dataDxfId="4" totalsRowDxfId="5">
      <calculatedColumnFormula>L2-M2</calculatedColumnFormula>
    </tableColumn>
    <tableColumn id="15" xr3:uid="{00000000-0010-0000-0000-00000F000000}" name="Order Month" dataDxfId="2" totalsRowDxfId="3">
      <calculatedColumnFormula>TEXT(B2,"mmmm")</calculatedColumnFormula>
    </tableColumn>
    <tableColumn id="16" xr3:uid="{00000000-0010-0000-0000-000010000000}" name="Order Year" dataDxfId="0" totalsRowDxfId="1">
      <calculatedColumnFormula>YEAR(B2)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2"/>
  <sheetViews>
    <sheetView workbookViewId="0">
      <selection activeCell="N372" sqref="N372"/>
    </sheetView>
  </sheetViews>
  <sheetFormatPr defaultRowHeight="14.25"/>
  <cols>
    <col min="1" max="1" width="22.25" customWidth="1"/>
    <col min="2" max="2" width="22.25" style="2" customWidth="1"/>
    <col min="3" max="8" width="22.25" customWidth="1"/>
    <col min="9" max="9" width="22.25" style="3" customWidth="1"/>
    <col min="10" max="12" width="22.25" customWidth="1"/>
    <col min="13" max="13" width="19.125" customWidth="1"/>
    <col min="14" max="14" width="12.625" bestFit="1" customWidth="1"/>
    <col min="15" max="15" width="15.125" customWidth="1"/>
    <col min="16" max="16" width="13.125" customWidth="1"/>
  </cols>
  <sheetData>
    <row r="1" spans="1:16" s="14" customFormat="1" ht="15">
      <c r="A1" s="11" t="s">
        <v>0</v>
      </c>
      <c r="B1" s="12" t="s">
        <v>1</v>
      </c>
      <c r="C1" s="11" t="s">
        <v>2</v>
      </c>
      <c r="D1" s="11" t="s">
        <v>3</v>
      </c>
      <c r="E1" s="11" t="s">
        <v>4</v>
      </c>
      <c r="F1" s="11" t="s">
        <v>5</v>
      </c>
      <c r="G1" s="11" t="s">
        <v>6</v>
      </c>
      <c r="H1" s="11" t="s">
        <v>7</v>
      </c>
      <c r="I1" s="13" t="s">
        <v>8</v>
      </c>
      <c r="J1" s="11" t="s">
        <v>9</v>
      </c>
      <c r="K1" s="11" t="s">
        <v>10</v>
      </c>
      <c r="L1" s="11" t="s">
        <v>11</v>
      </c>
      <c r="M1" s="11" t="s">
        <v>12</v>
      </c>
      <c r="N1" s="11" t="s">
        <v>13</v>
      </c>
      <c r="O1" s="11" t="s">
        <v>14</v>
      </c>
      <c r="P1" s="11" t="s">
        <v>15</v>
      </c>
    </row>
    <row r="2" spans="1:16">
      <c r="A2" s="1">
        <v>1001</v>
      </c>
      <c r="B2" s="2">
        <v>46070</v>
      </c>
      <c r="C2" s="1" t="s">
        <v>16</v>
      </c>
      <c r="D2" s="1" t="s">
        <v>17</v>
      </c>
      <c r="E2" s="1" t="s">
        <v>18</v>
      </c>
      <c r="F2" s="1" t="s">
        <v>19</v>
      </c>
      <c r="G2" s="1">
        <v>5</v>
      </c>
      <c r="H2" s="1">
        <v>930</v>
      </c>
      <c r="I2" s="5">
        <v>0</v>
      </c>
      <c r="J2" s="1" t="s">
        <v>20</v>
      </c>
      <c r="K2" s="1" t="s">
        <v>21</v>
      </c>
      <c r="L2" s="1">
        <f>G2*H2</f>
        <v>4650</v>
      </c>
      <c r="M2" s="1">
        <f>L2*(I2/100)</f>
        <v>0</v>
      </c>
      <c r="N2" s="1">
        <f>L2-M2</f>
        <v>4650</v>
      </c>
      <c r="O2" s="1" t="str">
        <f>TEXT(B2,"mmmm")</f>
        <v>February</v>
      </c>
      <c r="P2" s="1">
        <f>YEAR(B2)</f>
        <v>2026</v>
      </c>
    </row>
    <row r="3" spans="1:16">
      <c r="A3" s="1">
        <v>1002</v>
      </c>
      <c r="B3" s="2">
        <v>46109</v>
      </c>
      <c r="C3" s="1" t="s">
        <v>22</v>
      </c>
      <c r="D3" s="1" t="s">
        <v>17</v>
      </c>
      <c r="E3" s="1" t="s">
        <v>23</v>
      </c>
      <c r="F3" s="1" t="s">
        <v>19</v>
      </c>
      <c r="G3" s="1">
        <v>6</v>
      </c>
      <c r="H3" s="1">
        <v>1258</v>
      </c>
      <c r="I3" s="5">
        <v>0</v>
      </c>
      <c r="J3" s="1" t="s">
        <v>24</v>
      </c>
      <c r="K3" s="1" t="s">
        <v>25</v>
      </c>
      <c r="L3" s="1">
        <f t="shared" ref="L3:L66" si="0">G3*H3</f>
        <v>7548</v>
      </c>
      <c r="M3" s="1">
        <f>L3*(I3/100)</f>
        <v>0</v>
      </c>
      <c r="N3" s="1">
        <f t="shared" ref="N3:N66" si="1">L3-M3</f>
        <v>7548</v>
      </c>
      <c r="O3" s="1" t="str">
        <f t="shared" ref="O3:O66" si="2">TEXT(B3,"mmmm")</f>
        <v>March</v>
      </c>
      <c r="P3" s="1">
        <f t="shared" ref="P3:P66" si="3">YEAR(B3)</f>
        <v>2026</v>
      </c>
    </row>
    <row r="4" spans="1:16">
      <c r="A4" s="1">
        <v>1003</v>
      </c>
      <c r="B4" s="2">
        <v>46059</v>
      </c>
      <c r="C4" s="1" t="s">
        <v>26</v>
      </c>
      <c r="D4" s="1" t="s">
        <v>17</v>
      </c>
      <c r="E4" s="1" t="s">
        <v>27</v>
      </c>
      <c r="F4" s="1" t="s">
        <v>28</v>
      </c>
      <c r="G4" s="1">
        <v>4</v>
      </c>
      <c r="H4" s="1">
        <v>10096</v>
      </c>
      <c r="I4" s="5">
        <v>15</v>
      </c>
      <c r="J4" s="1" t="s">
        <v>20</v>
      </c>
      <c r="K4" s="1" t="s">
        <v>25</v>
      </c>
      <c r="L4" s="1">
        <f t="shared" si="0"/>
        <v>40384</v>
      </c>
      <c r="M4" s="1">
        <f>L4*(I4/100)</f>
        <v>6057.5999999999995</v>
      </c>
      <c r="N4" s="1">
        <f t="shared" si="1"/>
        <v>34326.400000000001</v>
      </c>
      <c r="O4" s="1" t="str">
        <f t="shared" si="2"/>
        <v>February</v>
      </c>
      <c r="P4" s="1">
        <f t="shared" si="3"/>
        <v>2026</v>
      </c>
    </row>
    <row r="5" spans="1:16">
      <c r="A5" s="1">
        <v>1004</v>
      </c>
      <c r="B5" s="2">
        <v>46076</v>
      </c>
      <c r="C5" s="1" t="s">
        <v>26</v>
      </c>
      <c r="D5" s="1" t="s">
        <v>17</v>
      </c>
      <c r="E5" s="1" t="s">
        <v>23</v>
      </c>
      <c r="F5" s="1" t="s">
        <v>19</v>
      </c>
      <c r="G5" s="1">
        <v>8</v>
      </c>
      <c r="H5" s="1">
        <v>648</v>
      </c>
      <c r="I5" s="5">
        <v>15</v>
      </c>
      <c r="J5" s="1" t="s">
        <v>20</v>
      </c>
      <c r="K5" s="1" t="s">
        <v>29</v>
      </c>
      <c r="L5" s="1">
        <f t="shared" si="0"/>
        <v>5184</v>
      </c>
      <c r="M5" s="1">
        <f t="shared" ref="M5:M65" si="4">L5*(I5/100)</f>
        <v>777.6</v>
      </c>
      <c r="N5" s="1">
        <f t="shared" si="1"/>
        <v>4406.3999999999996</v>
      </c>
      <c r="O5" s="1" t="str">
        <f t="shared" si="2"/>
        <v>February</v>
      </c>
      <c r="P5" s="1">
        <f t="shared" si="3"/>
        <v>2026</v>
      </c>
    </row>
    <row r="6" spans="1:16">
      <c r="A6" s="1">
        <v>1005</v>
      </c>
      <c r="B6" s="2">
        <v>46107</v>
      </c>
      <c r="C6" s="1" t="s">
        <v>30</v>
      </c>
      <c r="D6" s="1" t="s">
        <v>31</v>
      </c>
      <c r="E6" s="1" t="s">
        <v>23</v>
      </c>
      <c r="F6" s="1" t="s">
        <v>19</v>
      </c>
      <c r="G6" s="1">
        <v>8</v>
      </c>
      <c r="H6" s="1">
        <v>1187</v>
      </c>
      <c r="I6" s="5">
        <v>0</v>
      </c>
      <c r="J6" s="1" t="s">
        <v>20</v>
      </c>
      <c r="K6" s="1" t="s">
        <v>29</v>
      </c>
      <c r="L6" s="1">
        <f t="shared" si="0"/>
        <v>9496</v>
      </c>
      <c r="M6" s="1">
        <f t="shared" si="4"/>
        <v>0</v>
      </c>
      <c r="N6" s="1">
        <f t="shared" si="1"/>
        <v>9496</v>
      </c>
      <c r="O6" s="1" t="str">
        <f t="shared" si="2"/>
        <v>March</v>
      </c>
      <c r="P6" s="1">
        <f t="shared" si="3"/>
        <v>2026</v>
      </c>
    </row>
    <row r="7" spans="1:16">
      <c r="A7" s="1">
        <v>1006</v>
      </c>
      <c r="B7" s="2">
        <v>46113</v>
      </c>
      <c r="C7" s="1" t="s">
        <v>30</v>
      </c>
      <c r="D7" s="1" t="s">
        <v>17</v>
      </c>
      <c r="E7" s="1" t="s">
        <v>32</v>
      </c>
      <c r="F7" s="1" t="s">
        <v>28</v>
      </c>
      <c r="G7" s="1">
        <v>2</v>
      </c>
      <c r="H7" s="1">
        <v>1334</v>
      </c>
      <c r="I7" s="5">
        <v>0</v>
      </c>
      <c r="J7" s="1" t="s">
        <v>24</v>
      </c>
      <c r="K7" s="1" t="s">
        <v>21</v>
      </c>
      <c r="L7" s="1">
        <f t="shared" si="0"/>
        <v>2668</v>
      </c>
      <c r="M7" s="1">
        <f t="shared" si="4"/>
        <v>0</v>
      </c>
      <c r="N7" s="1">
        <f t="shared" si="1"/>
        <v>2668</v>
      </c>
      <c r="O7" s="1" t="str">
        <f t="shared" si="2"/>
        <v>April</v>
      </c>
      <c r="P7" s="1">
        <f t="shared" si="3"/>
        <v>2026</v>
      </c>
    </row>
    <row r="8" spans="1:16">
      <c r="A8" s="1">
        <v>1007</v>
      </c>
      <c r="B8" s="2">
        <v>46111</v>
      </c>
      <c r="C8" s="1" t="s">
        <v>22</v>
      </c>
      <c r="D8" s="1" t="s">
        <v>31</v>
      </c>
      <c r="E8" s="1" t="s">
        <v>23</v>
      </c>
      <c r="F8" s="1" t="s">
        <v>19</v>
      </c>
      <c r="G8" s="1">
        <v>2</v>
      </c>
      <c r="H8" s="1">
        <v>1059</v>
      </c>
      <c r="I8" s="5">
        <v>5</v>
      </c>
      <c r="J8" s="1" t="s">
        <v>20</v>
      </c>
      <c r="K8" s="1" t="s">
        <v>29</v>
      </c>
      <c r="L8" s="1">
        <f t="shared" si="0"/>
        <v>2118</v>
      </c>
      <c r="M8" s="1">
        <f t="shared" si="4"/>
        <v>105.9</v>
      </c>
      <c r="N8" s="1">
        <f t="shared" si="1"/>
        <v>2012.1</v>
      </c>
      <c r="O8" s="1" t="str">
        <f t="shared" si="2"/>
        <v>March</v>
      </c>
      <c r="P8" s="1">
        <f t="shared" si="3"/>
        <v>2026</v>
      </c>
    </row>
    <row r="9" spans="1:16">
      <c r="A9" s="1">
        <v>1008</v>
      </c>
      <c r="B9" s="2">
        <v>46105</v>
      </c>
      <c r="C9" s="1" t="s">
        <v>16</v>
      </c>
      <c r="D9" s="1" t="s">
        <v>17</v>
      </c>
      <c r="E9" s="1" t="s">
        <v>18</v>
      </c>
      <c r="F9" s="1" t="s">
        <v>19</v>
      </c>
      <c r="G9" s="1">
        <v>3</v>
      </c>
      <c r="H9" s="1">
        <v>373</v>
      </c>
      <c r="I9" s="5">
        <v>15</v>
      </c>
      <c r="J9" s="1" t="s">
        <v>20</v>
      </c>
      <c r="K9" s="1" t="s">
        <v>29</v>
      </c>
      <c r="L9" s="1">
        <f t="shared" si="0"/>
        <v>1119</v>
      </c>
      <c r="M9" s="1">
        <f t="shared" si="4"/>
        <v>167.85</v>
      </c>
      <c r="N9" s="1">
        <f t="shared" si="1"/>
        <v>951.15</v>
      </c>
      <c r="O9" s="1" t="str">
        <f t="shared" si="2"/>
        <v>March</v>
      </c>
      <c r="P9" s="1">
        <f t="shared" si="3"/>
        <v>2026</v>
      </c>
    </row>
    <row r="10" spans="1:16">
      <c r="A10" s="1">
        <v>1009</v>
      </c>
      <c r="B10" s="2">
        <v>46092</v>
      </c>
      <c r="C10" s="1" t="s">
        <v>33</v>
      </c>
      <c r="D10" s="1" t="s">
        <v>31</v>
      </c>
      <c r="E10" s="1" t="s">
        <v>32</v>
      </c>
      <c r="F10" s="1" t="s">
        <v>28</v>
      </c>
      <c r="G10" s="1">
        <v>3</v>
      </c>
      <c r="H10" s="1">
        <v>1194</v>
      </c>
      <c r="I10" s="5">
        <v>5</v>
      </c>
      <c r="J10" s="1" t="s">
        <v>20</v>
      </c>
      <c r="K10" s="1" t="s">
        <v>21</v>
      </c>
      <c r="L10" s="1">
        <f t="shared" si="0"/>
        <v>3582</v>
      </c>
      <c r="M10" s="1">
        <f t="shared" si="4"/>
        <v>179.10000000000002</v>
      </c>
      <c r="N10" s="1">
        <f t="shared" si="1"/>
        <v>3402.9</v>
      </c>
      <c r="O10" s="1" t="str">
        <f t="shared" si="2"/>
        <v>March</v>
      </c>
      <c r="P10" s="1">
        <f t="shared" si="3"/>
        <v>2026</v>
      </c>
    </row>
    <row r="11" spans="1:16">
      <c r="A11" s="1">
        <v>1010</v>
      </c>
      <c r="B11" s="2">
        <v>46073</v>
      </c>
      <c r="C11" s="1" t="s">
        <v>33</v>
      </c>
      <c r="D11" s="1" t="s">
        <v>31</v>
      </c>
      <c r="E11" s="1" t="s">
        <v>34</v>
      </c>
      <c r="F11" s="1" t="s">
        <v>19</v>
      </c>
      <c r="G11" s="1">
        <v>9</v>
      </c>
      <c r="H11" s="1">
        <v>15040</v>
      </c>
      <c r="I11" s="5">
        <v>0</v>
      </c>
      <c r="J11" s="1" t="s">
        <v>20</v>
      </c>
      <c r="K11" s="1" t="s">
        <v>25</v>
      </c>
      <c r="L11" s="1">
        <f t="shared" si="0"/>
        <v>135360</v>
      </c>
      <c r="M11" s="1">
        <f t="shared" si="4"/>
        <v>0</v>
      </c>
      <c r="N11" s="1">
        <f t="shared" si="1"/>
        <v>135360</v>
      </c>
      <c r="O11" s="1" t="str">
        <f t="shared" si="2"/>
        <v>February</v>
      </c>
      <c r="P11" s="1">
        <f t="shared" si="3"/>
        <v>2026</v>
      </c>
    </row>
    <row r="12" spans="1:16">
      <c r="A12" s="1">
        <v>1012</v>
      </c>
      <c r="B12" s="2">
        <v>46065</v>
      </c>
      <c r="C12" s="1" t="s">
        <v>21</v>
      </c>
      <c r="D12" s="1" t="s">
        <v>31</v>
      </c>
      <c r="E12" s="1" t="s">
        <v>35</v>
      </c>
      <c r="F12" s="1" t="s">
        <v>19</v>
      </c>
      <c r="G12" s="1">
        <v>1</v>
      </c>
      <c r="H12" s="1">
        <v>8991</v>
      </c>
      <c r="I12" s="5">
        <v>15</v>
      </c>
      <c r="J12" s="1" t="s">
        <v>20</v>
      </c>
      <c r="K12" s="1" t="s">
        <v>21</v>
      </c>
      <c r="L12" s="1">
        <f t="shared" si="0"/>
        <v>8991</v>
      </c>
      <c r="M12" s="1">
        <f t="shared" si="4"/>
        <v>1348.6499999999999</v>
      </c>
      <c r="N12" s="1">
        <f t="shared" si="1"/>
        <v>7642.35</v>
      </c>
      <c r="O12" s="1" t="str">
        <f t="shared" si="2"/>
        <v>February</v>
      </c>
      <c r="P12" s="1">
        <f t="shared" si="3"/>
        <v>2026</v>
      </c>
    </row>
    <row r="13" spans="1:16">
      <c r="A13" s="1">
        <v>1015</v>
      </c>
      <c r="B13" s="2">
        <v>46044</v>
      </c>
      <c r="C13" s="1" t="s">
        <v>21</v>
      </c>
      <c r="D13" s="1" t="s">
        <v>17</v>
      </c>
      <c r="E13" s="1" t="s">
        <v>35</v>
      </c>
      <c r="F13" s="1" t="s">
        <v>19</v>
      </c>
      <c r="G13" s="1">
        <v>4</v>
      </c>
      <c r="H13" s="1">
        <v>9399</v>
      </c>
      <c r="I13" s="5">
        <v>15</v>
      </c>
      <c r="J13" s="1" t="s">
        <v>24</v>
      </c>
      <c r="K13" s="1" t="s">
        <v>25</v>
      </c>
      <c r="L13" s="1">
        <f t="shared" si="0"/>
        <v>37596</v>
      </c>
      <c r="M13" s="1">
        <f t="shared" si="4"/>
        <v>5639.4</v>
      </c>
      <c r="N13" s="1">
        <f t="shared" si="1"/>
        <v>31956.6</v>
      </c>
      <c r="O13" s="1" t="str">
        <f t="shared" si="2"/>
        <v>January</v>
      </c>
      <c r="P13" s="1">
        <f t="shared" si="3"/>
        <v>2026</v>
      </c>
    </row>
    <row r="14" spans="1:16">
      <c r="A14" s="1">
        <v>1016</v>
      </c>
      <c r="B14" s="2">
        <v>46067</v>
      </c>
      <c r="C14" s="1" t="s">
        <v>36</v>
      </c>
      <c r="D14" s="1" t="s">
        <v>37</v>
      </c>
      <c r="E14" s="1" t="s">
        <v>27</v>
      </c>
      <c r="F14" s="1" t="s">
        <v>28</v>
      </c>
      <c r="G14" s="1">
        <v>5</v>
      </c>
      <c r="H14" s="1">
        <v>9784</v>
      </c>
      <c r="I14" s="5">
        <v>10</v>
      </c>
      <c r="J14" s="1" t="s">
        <v>24</v>
      </c>
      <c r="K14" s="1" t="s">
        <v>25</v>
      </c>
      <c r="L14" s="1">
        <f t="shared" si="0"/>
        <v>48920</v>
      </c>
      <c r="M14" s="1">
        <f t="shared" si="4"/>
        <v>4892</v>
      </c>
      <c r="N14" s="1">
        <f t="shared" si="1"/>
        <v>44028</v>
      </c>
      <c r="O14" s="1" t="str">
        <f t="shared" si="2"/>
        <v>February</v>
      </c>
      <c r="P14" s="1">
        <f t="shared" si="3"/>
        <v>2026</v>
      </c>
    </row>
    <row r="15" spans="1:16">
      <c r="A15" s="1">
        <v>1017</v>
      </c>
      <c r="B15" s="2">
        <v>46073</v>
      </c>
      <c r="C15" s="1" t="s">
        <v>16</v>
      </c>
      <c r="D15" s="1" t="s">
        <v>17</v>
      </c>
      <c r="E15" s="1" t="s">
        <v>27</v>
      </c>
      <c r="F15" s="1" t="s">
        <v>28</v>
      </c>
      <c r="G15" s="1">
        <v>1</v>
      </c>
      <c r="H15" s="1">
        <v>10291</v>
      </c>
      <c r="I15" s="5">
        <v>10</v>
      </c>
      <c r="J15" s="1" t="s">
        <v>20</v>
      </c>
      <c r="K15" s="1" t="s">
        <v>25</v>
      </c>
      <c r="L15" s="1">
        <f t="shared" si="0"/>
        <v>10291</v>
      </c>
      <c r="M15" s="1">
        <f t="shared" si="4"/>
        <v>1029.1000000000001</v>
      </c>
      <c r="N15" s="1">
        <f t="shared" si="1"/>
        <v>9261.9</v>
      </c>
      <c r="O15" s="1" t="str">
        <f t="shared" si="2"/>
        <v>February</v>
      </c>
      <c r="P15" s="1">
        <f t="shared" si="3"/>
        <v>2026</v>
      </c>
    </row>
    <row r="16" spans="1:16">
      <c r="A16" s="1">
        <v>1018</v>
      </c>
      <c r="B16" s="2">
        <v>46083</v>
      </c>
      <c r="C16" s="1" t="s">
        <v>33</v>
      </c>
      <c r="D16" s="1" t="s">
        <v>31</v>
      </c>
      <c r="E16" s="1" t="s">
        <v>18</v>
      </c>
      <c r="F16" s="1" t="s">
        <v>19</v>
      </c>
      <c r="G16" s="1">
        <v>8</v>
      </c>
      <c r="H16" s="1">
        <v>638</v>
      </c>
      <c r="I16" s="5">
        <v>10</v>
      </c>
      <c r="J16" s="1" t="s">
        <v>20</v>
      </c>
      <c r="K16" s="1" t="s">
        <v>25</v>
      </c>
      <c r="L16" s="1">
        <f t="shared" si="0"/>
        <v>5104</v>
      </c>
      <c r="M16" s="1">
        <f t="shared" si="4"/>
        <v>510.40000000000003</v>
      </c>
      <c r="N16" s="1">
        <f t="shared" si="1"/>
        <v>4593.6000000000004</v>
      </c>
      <c r="O16" s="1" t="str">
        <f t="shared" si="2"/>
        <v>March</v>
      </c>
      <c r="P16" s="1">
        <f t="shared" si="3"/>
        <v>2026</v>
      </c>
    </row>
    <row r="17" spans="1:16">
      <c r="A17" s="1">
        <v>1019</v>
      </c>
      <c r="B17" s="2">
        <v>46101</v>
      </c>
      <c r="C17" s="1" t="s">
        <v>26</v>
      </c>
      <c r="D17" s="1" t="s">
        <v>31</v>
      </c>
      <c r="E17" s="1" t="s">
        <v>38</v>
      </c>
      <c r="F17" s="1" t="s">
        <v>28</v>
      </c>
      <c r="G17" s="1">
        <v>4</v>
      </c>
      <c r="H17" s="1">
        <v>3441</v>
      </c>
      <c r="I17" s="5">
        <v>10</v>
      </c>
      <c r="J17" s="1" t="s">
        <v>24</v>
      </c>
      <c r="K17" s="1" t="s">
        <v>25</v>
      </c>
      <c r="L17" s="1">
        <f t="shared" si="0"/>
        <v>13764</v>
      </c>
      <c r="M17" s="1">
        <f t="shared" si="4"/>
        <v>1376.4</v>
      </c>
      <c r="N17" s="1">
        <f t="shared" si="1"/>
        <v>12387.6</v>
      </c>
      <c r="O17" s="1" t="str">
        <f t="shared" si="2"/>
        <v>March</v>
      </c>
      <c r="P17" s="1">
        <f t="shared" si="3"/>
        <v>2026</v>
      </c>
    </row>
    <row r="18" spans="1:16">
      <c r="A18" s="1">
        <v>1020</v>
      </c>
      <c r="B18" s="2">
        <v>46070</v>
      </c>
      <c r="C18" s="1" t="s">
        <v>39</v>
      </c>
      <c r="D18" s="1" t="s">
        <v>17</v>
      </c>
      <c r="E18" s="1" t="s">
        <v>38</v>
      </c>
      <c r="F18" s="1" t="s">
        <v>28</v>
      </c>
      <c r="G18" s="1">
        <v>3</v>
      </c>
      <c r="H18" s="1">
        <v>3193</v>
      </c>
      <c r="I18" s="5">
        <v>5</v>
      </c>
      <c r="J18" s="1" t="s">
        <v>24</v>
      </c>
      <c r="K18" s="1" t="s">
        <v>25</v>
      </c>
      <c r="L18" s="1">
        <f t="shared" si="0"/>
        <v>9579</v>
      </c>
      <c r="M18" s="1">
        <f t="shared" si="4"/>
        <v>478.95000000000005</v>
      </c>
      <c r="N18" s="1">
        <f t="shared" si="1"/>
        <v>9100.0499999999993</v>
      </c>
      <c r="O18" s="1" t="str">
        <f t="shared" si="2"/>
        <v>February</v>
      </c>
      <c r="P18" s="1">
        <f t="shared" si="3"/>
        <v>2026</v>
      </c>
    </row>
    <row r="19" spans="1:16">
      <c r="A19" s="1">
        <v>1021</v>
      </c>
      <c r="B19" s="2">
        <v>46060</v>
      </c>
      <c r="C19" s="1" t="s">
        <v>40</v>
      </c>
      <c r="D19" s="1" t="s">
        <v>41</v>
      </c>
      <c r="E19" s="1" t="s">
        <v>32</v>
      </c>
      <c r="F19" s="1" t="s">
        <v>28</v>
      </c>
      <c r="G19" s="1">
        <v>1</v>
      </c>
      <c r="H19" s="1">
        <v>1399</v>
      </c>
      <c r="I19" s="5">
        <v>5</v>
      </c>
      <c r="J19" s="1" t="s">
        <v>24</v>
      </c>
      <c r="K19" s="1" t="s">
        <v>29</v>
      </c>
      <c r="L19" s="1">
        <f t="shared" si="0"/>
        <v>1399</v>
      </c>
      <c r="M19" s="1">
        <f t="shared" si="4"/>
        <v>69.95</v>
      </c>
      <c r="N19" s="1">
        <f t="shared" si="1"/>
        <v>1329.05</v>
      </c>
      <c r="O19" s="1" t="str">
        <f t="shared" si="2"/>
        <v>February</v>
      </c>
      <c r="P19" s="1">
        <f t="shared" si="3"/>
        <v>2026</v>
      </c>
    </row>
    <row r="20" spans="1:16">
      <c r="A20" s="1">
        <v>1022</v>
      </c>
      <c r="B20" s="2">
        <v>46068</v>
      </c>
      <c r="C20" s="1" t="s">
        <v>40</v>
      </c>
      <c r="D20" s="1" t="s">
        <v>31</v>
      </c>
      <c r="E20" s="1" t="s">
        <v>35</v>
      </c>
      <c r="F20" s="1" t="s">
        <v>19</v>
      </c>
      <c r="G20" s="1">
        <v>2</v>
      </c>
      <c r="H20" s="1">
        <v>8738</v>
      </c>
      <c r="I20" s="5">
        <v>5</v>
      </c>
      <c r="J20" s="1" t="s">
        <v>24</v>
      </c>
      <c r="K20" s="1" t="s">
        <v>25</v>
      </c>
      <c r="L20" s="1">
        <f t="shared" si="0"/>
        <v>17476</v>
      </c>
      <c r="M20" s="1">
        <f t="shared" si="4"/>
        <v>873.80000000000007</v>
      </c>
      <c r="N20" s="1">
        <f t="shared" si="1"/>
        <v>16602.2</v>
      </c>
      <c r="O20" s="1" t="str">
        <f t="shared" si="2"/>
        <v>February</v>
      </c>
      <c r="P20" s="1">
        <f t="shared" si="3"/>
        <v>2026</v>
      </c>
    </row>
    <row r="21" spans="1:16">
      <c r="A21" s="1">
        <v>1024</v>
      </c>
      <c r="B21" s="2">
        <v>46042</v>
      </c>
      <c r="C21" s="1" t="s">
        <v>33</v>
      </c>
      <c r="D21" s="1" t="s">
        <v>17</v>
      </c>
      <c r="E21" s="1" t="s">
        <v>27</v>
      </c>
      <c r="F21" s="1" t="s">
        <v>28</v>
      </c>
      <c r="G21" s="1">
        <v>3</v>
      </c>
      <c r="H21" s="1">
        <v>9756</v>
      </c>
      <c r="I21" s="5">
        <v>0</v>
      </c>
      <c r="J21" s="1" t="s">
        <v>24</v>
      </c>
      <c r="K21" s="1" t="s">
        <v>25</v>
      </c>
      <c r="L21" s="1">
        <f t="shared" si="0"/>
        <v>29268</v>
      </c>
      <c r="M21" s="1">
        <f t="shared" si="4"/>
        <v>0</v>
      </c>
      <c r="N21" s="1">
        <f t="shared" si="1"/>
        <v>29268</v>
      </c>
      <c r="O21" s="1" t="str">
        <f t="shared" si="2"/>
        <v>January</v>
      </c>
      <c r="P21" s="1">
        <f t="shared" si="3"/>
        <v>2026</v>
      </c>
    </row>
    <row r="22" spans="1:16">
      <c r="A22" s="1">
        <v>1026</v>
      </c>
      <c r="B22" s="2">
        <v>46109</v>
      </c>
      <c r="C22" s="1" t="s">
        <v>22</v>
      </c>
      <c r="D22" s="1" t="s">
        <v>17</v>
      </c>
      <c r="E22" s="1" t="s">
        <v>38</v>
      </c>
      <c r="F22" s="1" t="s">
        <v>28</v>
      </c>
      <c r="G22" s="1">
        <v>5</v>
      </c>
      <c r="H22" s="1">
        <v>3376</v>
      </c>
      <c r="I22" s="5">
        <v>15</v>
      </c>
      <c r="J22" s="1" t="s">
        <v>24</v>
      </c>
      <c r="K22" s="1" t="s">
        <v>21</v>
      </c>
      <c r="L22" s="1">
        <f t="shared" si="0"/>
        <v>16880</v>
      </c>
      <c r="M22" s="1">
        <f t="shared" si="4"/>
        <v>2532</v>
      </c>
      <c r="N22" s="1">
        <f t="shared" si="1"/>
        <v>14348</v>
      </c>
      <c r="O22" s="1" t="str">
        <f t="shared" si="2"/>
        <v>March</v>
      </c>
      <c r="P22" s="1">
        <f t="shared" si="3"/>
        <v>2026</v>
      </c>
    </row>
    <row r="23" spans="1:16">
      <c r="A23" s="1">
        <v>1027</v>
      </c>
      <c r="B23" s="2">
        <v>46047</v>
      </c>
      <c r="C23" s="1" t="s">
        <v>42</v>
      </c>
      <c r="D23" s="1" t="s">
        <v>37</v>
      </c>
      <c r="E23" s="1" t="s">
        <v>32</v>
      </c>
      <c r="F23" s="1" t="s">
        <v>28</v>
      </c>
      <c r="G23" s="1">
        <v>7</v>
      </c>
      <c r="H23" s="1">
        <v>1365</v>
      </c>
      <c r="I23" s="5">
        <v>15</v>
      </c>
      <c r="J23" s="1" t="s">
        <v>24</v>
      </c>
      <c r="K23" s="1" t="s">
        <v>25</v>
      </c>
      <c r="L23" s="1">
        <f t="shared" si="0"/>
        <v>9555</v>
      </c>
      <c r="M23" s="1">
        <f t="shared" si="4"/>
        <v>1433.25</v>
      </c>
      <c r="N23" s="1">
        <f t="shared" si="1"/>
        <v>8121.75</v>
      </c>
      <c r="O23" s="1" t="str">
        <f t="shared" si="2"/>
        <v>January</v>
      </c>
      <c r="P23" s="1">
        <f t="shared" si="3"/>
        <v>2026</v>
      </c>
    </row>
    <row r="24" spans="1:16">
      <c r="A24" s="1">
        <v>1028</v>
      </c>
      <c r="B24" s="2">
        <v>46113</v>
      </c>
      <c r="C24" s="1" t="s">
        <v>36</v>
      </c>
      <c r="D24" s="1" t="s">
        <v>31</v>
      </c>
      <c r="E24" s="1" t="s">
        <v>23</v>
      </c>
      <c r="F24" s="1" t="s">
        <v>19</v>
      </c>
      <c r="G24" s="1">
        <v>9</v>
      </c>
      <c r="H24" s="1">
        <v>1334</v>
      </c>
      <c r="I24" s="5">
        <v>5</v>
      </c>
      <c r="J24" s="1" t="s">
        <v>20</v>
      </c>
      <c r="K24" s="1" t="s">
        <v>21</v>
      </c>
      <c r="L24" s="1">
        <f t="shared" si="0"/>
        <v>12006</v>
      </c>
      <c r="M24" s="1">
        <f t="shared" si="4"/>
        <v>600.30000000000007</v>
      </c>
      <c r="N24" s="1">
        <f t="shared" si="1"/>
        <v>11405.7</v>
      </c>
      <c r="O24" s="1" t="str">
        <f t="shared" si="2"/>
        <v>April</v>
      </c>
      <c r="P24" s="1">
        <f t="shared" si="3"/>
        <v>2026</v>
      </c>
    </row>
    <row r="25" spans="1:16">
      <c r="A25" s="1">
        <v>1029</v>
      </c>
      <c r="B25" s="2">
        <v>46061</v>
      </c>
      <c r="C25" s="1" t="s">
        <v>39</v>
      </c>
      <c r="D25" s="1" t="s">
        <v>41</v>
      </c>
      <c r="E25" s="1" t="s">
        <v>38</v>
      </c>
      <c r="F25" s="1" t="s">
        <v>28</v>
      </c>
      <c r="G25" s="1">
        <v>10</v>
      </c>
      <c r="H25" s="1">
        <v>3908</v>
      </c>
      <c r="I25" s="5">
        <v>5</v>
      </c>
      <c r="J25" s="1" t="s">
        <v>20</v>
      </c>
      <c r="K25" s="1" t="s">
        <v>25</v>
      </c>
      <c r="L25" s="1">
        <f t="shared" si="0"/>
        <v>39080</v>
      </c>
      <c r="M25" s="1">
        <f t="shared" si="4"/>
        <v>1954</v>
      </c>
      <c r="N25" s="1">
        <f t="shared" si="1"/>
        <v>37126</v>
      </c>
      <c r="O25" s="1" t="str">
        <f t="shared" si="2"/>
        <v>February</v>
      </c>
      <c r="P25" s="1">
        <f t="shared" si="3"/>
        <v>2026</v>
      </c>
    </row>
    <row r="26" spans="1:16">
      <c r="A26" s="1">
        <v>1030</v>
      </c>
      <c r="B26" s="2">
        <v>46083</v>
      </c>
      <c r="C26" s="1" t="s">
        <v>43</v>
      </c>
      <c r="D26" s="1" t="s">
        <v>17</v>
      </c>
      <c r="E26" s="1" t="s">
        <v>32</v>
      </c>
      <c r="F26" s="1" t="s">
        <v>28</v>
      </c>
      <c r="G26" s="1">
        <v>1</v>
      </c>
      <c r="H26" s="1">
        <v>937</v>
      </c>
      <c r="I26" s="5">
        <v>15</v>
      </c>
      <c r="J26" s="1" t="s">
        <v>20</v>
      </c>
      <c r="K26" s="1" t="s">
        <v>21</v>
      </c>
      <c r="L26" s="1">
        <f t="shared" si="0"/>
        <v>937</v>
      </c>
      <c r="M26" s="1">
        <f t="shared" si="4"/>
        <v>140.54999999999998</v>
      </c>
      <c r="N26" s="1">
        <f t="shared" si="1"/>
        <v>796.45</v>
      </c>
      <c r="O26" s="1" t="str">
        <f t="shared" si="2"/>
        <v>March</v>
      </c>
      <c r="P26" s="1">
        <f t="shared" si="3"/>
        <v>2026</v>
      </c>
    </row>
    <row r="27" spans="1:16">
      <c r="A27" s="1">
        <v>1031</v>
      </c>
      <c r="B27" s="2">
        <v>46040</v>
      </c>
      <c r="C27" s="1" t="s">
        <v>33</v>
      </c>
      <c r="D27" s="1" t="s">
        <v>17</v>
      </c>
      <c r="E27" s="1" t="s">
        <v>44</v>
      </c>
      <c r="F27" s="1" t="s">
        <v>19</v>
      </c>
      <c r="G27" s="1">
        <v>2</v>
      </c>
      <c r="H27" s="1">
        <v>6897</v>
      </c>
      <c r="I27" s="5">
        <v>10</v>
      </c>
      <c r="J27" s="1" t="s">
        <v>20</v>
      </c>
      <c r="K27" s="1" t="s">
        <v>21</v>
      </c>
      <c r="L27" s="1">
        <f t="shared" si="0"/>
        <v>13794</v>
      </c>
      <c r="M27" s="1">
        <f t="shared" si="4"/>
        <v>1379.4</v>
      </c>
      <c r="N27" s="1">
        <f t="shared" si="1"/>
        <v>12414.6</v>
      </c>
      <c r="O27" s="1" t="str">
        <f t="shared" si="2"/>
        <v>January</v>
      </c>
      <c r="P27" s="1">
        <f t="shared" si="3"/>
        <v>2026</v>
      </c>
    </row>
    <row r="28" spans="1:16">
      <c r="A28" s="1">
        <v>1032</v>
      </c>
      <c r="B28" s="2">
        <v>46087</v>
      </c>
      <c r="C28" s="1" t="s">
        <v>33</v>
      </c>
      <c r="D28" s="1" t="s">
        <v>41</v>
      </c>
      <c r="E28" s="1" t="s">
        <v>32</v>
      </c>
      <c r="F28" s="1" t="s">
        <v>28</v>
      </c>
      <c r="G28" s="1">
        <v>8</v>
      </c>
      <c r="H28" s="1">
        <v>1377</v>
      </c>
      <c r="I28" s="5">
        <v>15</v>
      </c>
      <c r="J28" s="1" t="s">
        <v>20</v>
      </c>
      <c r="K28" s="1" t="s">
        <v>25</v>
      </c>
      <c r="L28" s="1">
        <f t="shared" si="0"/>
        <v>11016</v>
      </c>
      <c r="M28" s="1">
        <f t="shared" si="4"/>
        <v>1652.3999999999999</v>
      </c>
      <c r="N28" s="1">
        <f t="shared" si="1"/>
        <v>9363.6</v>
      </c>
      <c r="O28" s="1" t="str">
        <f t="shared" si="2"/>
        <v>March</v>
      </c>
      <c r="P28" s="1">
        <f t="shared" si="3"/>
        <v>2026</v>
      </c>
    </row>
    <row r="29" spans="1:16">
      <c r="A29" s="1">
        <v>1033</v>
      </c>
      <c r="B29" s="2">
        <v>46073</v>
      </c>
      <c r="C29" s="1" t="s">
        <v>33</v>
      </c>
      <c r="D29" s="1" t="s">
        <v>31</v>
      </c>
      <c r="E29" s="1" t="s">
        <v>27</v>
      </c>
      <c r="F29" s="1" t="s">
        <v>28</v>
      </c>
      <c r="G29" s="1">
        <v>2</v>
      </c>
      <c r="H29" s="1">
        <v>10274</v>
      </c>
      <c r="I29" s="5">
        <v>10</v>
      </c>
      <c r="J29" s="1" t="s">
        <v>20</v>
      </c>
      <c r="K29" s="1" t="s">
        <v>29</v>
      </c>
      <c r="L29" s="1">
        <f t="shared" si="0"/>
        <v>20548</v>
      </c>
      <c r="M29" s="1">
        <f t="shared" si="4"/>
        <v>2054.8000000000002</v>
      </c>
      <c r="N29" s="1">
        <f t="shared" si="1"/>
        <v>18493.2</v>
      </c>
      <c r="O29" s="1" t="str">
        <f t="shared" si="2"/>
        <v>February</v>
      </c>
      <c r="P29" s="1">
        <f t="shared" si="3"/>
        <v>2026</v>
      </c>
    </row>
    <row r="30" spans="1:16">
      <c r="A30" s="1">
        <v>1034</v>
      </c>
      <c r="B30" s="2">
        <v>46100</v>
      </c>
      <c r="C30" s="1" t="s">
        <v>16</v>
      </c>
      <c r="D30" s="1" t="s">
        <v>17</v>
      </c>
      <c r="E30" s="1" t="s">
        <v>18</v>
      </c>
      <c r="F30" s="1" t="s">
        <v>19</v>
      </c>
      <c r="G30" s="1">
        <v>2</v>
      </c>
      <c r="H30" s="1">
        <v>611</v>
      </c>
      <c r="I30" s="5">
        <v>15</v>
      </c>
      <c r="J30" s="1" t="s">
        <v>24</v>
      </c>
      <c r="K30" s="1" t="s">
        <v>25</v>
      </c>
      <c r="L30" s="1">
        <f t="shared" si="0"/>
        <v>1222</v>
      </c>
      <c r="M30" s="1">
        <f t="shared" si="4"/>
        <v>183.29999999999998</v>
      </c>
      <c r="N30" s="1">
        <f t="shared" si="1"/>
        <v>1038.7</v>
      </c>
      <c r="O30" s="1" t="str">
        <f t="shared" si="2"/>
        <v>March</v>
      </c>
      <c r="P30" s="1">
        <f t="shared" si="3"/>
        <v>2026</v>
      </c>
    </row>
    <row r="31" spans="1:16">
      <c r="A31" s="1">
        <v>1035</v>
      </c>
      <c r="B31" s="2">
        <v>46113</v>
      </c>
      <c r="C31" s="1" t="s">
        <v>22</v>
      </c>
      <c r="D31" s="1" t="s">
        <v>17</v>
      </c>
      <c r="E31" s="1" t="s">
        <v>32</v>
      </c>
      <c r="F31" s="1" t="s">
        <v>28</v>
      </c>
      <c r="G31" s="1">
        <v>6</v>
      </c>
      <c r="H31" s="1">
        <v>953</v>
      </c>
      <c r="I31" s="5">
        <v>10</v>
      </c>
      <c r="J31" s="1" t="s">
        <v>20</v>
      </c>
      <c r="K31" s="1" t="s">
        <v>25</v>
      </c>
      <c r="L31" s="1">
        <f t="shared" si="0"/>
        <v>5718</v>
      </c>
      <c r="M31" s="1">
        <f t="shared" si="4"/>
        <v>571.80000000000007</v>
      </c>
      <c r="N31" s="1">
        <f t="shared" si="1"/>
        <v>5146.2</v>
      </c>
      <c r="O31" s="1" t="str">
        <f t="shared" si="2"/>
        <v>April</v>
      </c>
      <c r="P31" s="1">
        <f t="shared" si="3"/>
        <v>2026</v>
      </c>
    </row>
    <row r="32" spans="1:16">
      <c r="A32" s="1">
        <v>1036</v>
      </c>
      <c r="B32" s="2">
        <v>46081</v>
      </c>
      <c r="C32" s="1" t="s">
        <v>36</v>
      </c>
      <c r="D32" s="1" t="s">
        <v>31</v>
      </c>
      <c r="E32" s="1" t="s">
        <v>38</v>
      </c>
      <c r="F32" s="1" t="s">
        <v>28</v>
      </c>
      <c r="G32" s="1">
        <v>2</v>
      </c>
      <c r="H32" s="1">
        <v>3414</v>
      </c>
      <c r="I32" s="5">
        <v>0</v>
      </c>
      <c r="J32" s="1" t="s">
        <v>20</v>
      </c>
      <c r="K32" s="1" t="s">
        <v>25</v>
      </c>
      <c r="L32" s="1">
        <f t="shared" si="0"/>
        <v>6828</v>
      </c>
      <c r="M32" s="1">
        <f t="shared" si="4"/>
        <v>0</v>
      </c>
      <c r="N32" s="1">
        <f t="shared" si="1"/>
        <v>6828</v>
      </c>
      <c r="O32" s="1" t="str">
        <f t="shared" si="2"/>
        <v>February</v>
      </c>
      <c r="P32" s="1">
        <f t="shared" si="3"/>
        <v>2026</v>
      </c>
    </row>
    <row r="33" spans="1:16">
      <c r="A33" s="1">
        <v>1037</v>
      </c>
      <c r="B33" s="2">
        <v>46063</v>
      </c>
      <c r="C33" s="1" t="s">
        <v>43</v>
      </c>
      <c r="D33" s="1" t="s">
        <v>41</v>
      </c>
      <c r="E33" s="1" t="s">
        <v>18</v>
      </c>
      <c r="F33" s="1" t="s">
        <v>19</v>
      </c>
      <c r="G33" s="1">
        <v>6</v>
      </c>
      <c r="H33" s="1">
        <v>643</v>
      </c>
      <c r="I33" s="5">
        <v>15</v>
      </c>
      <c r="J33" s="1" t="s">
        <v>24</v>
      </c>
      <c r="K33" s="1" t="s">
        <v>29</v>
      </c>
      <c r="L33" s="1">
        <f t="shared" si="0"/>
        <v>3858</v>
      </c>
      <c r="M33" s="1">
        <f t="shared" si="4"/>
        <v>578.69999999999993</v>
      </c>
      <c r="N33" s="1">
        <f t="shared" si="1"/>
        <v>3279.3</v>
      </c>
      <c r="O33" s="1" t="str">
        <f t="shared" si="2"/>
        <v>February</v>
      </c>
      <c r="P33" s="1">
        <f t="shared" si="3"/>
        <v>2026</v>
      </c>
    </row>
    <row r="34" spans="1:16">
      <c r="A34" s="1">
        <v>1039</v>
      </c>
      <c r="B34" s="2">
        <v>46059</v>
      </c>
      <c r="C34" s="1" t="s">
        <v>30</v>
      </c>
      <c r="D34" s="1" t="s">
        <v>17</v>
      </c>
      <c r="E34" s="1" t="s">
        <v>27</v>
      </c>
      <c r="F34" s="1" t="s">
        <v>28</v>
      </c>
      <c r="G34" s="1">
        <v>4</v>
      </c>
      <c r="H34" s="1">
        <v>10466</v>
      </c>
      <c r="I34" s="5">
        <v>15</v>
      </c>
      <c r="J34" s="1" t="s">
        <v>24</v>
      </c>
      <c r="K34" s="1" t="s">
        <v>29</v>
      </c>
      <c r="L34" s="1">
        <f t="shared" si="0"/>
        <v>41864</v>
      </c>
      <c r="M34" s="1">
        <f t="shared" si="4"/>
        <v>6279.5999999999995</v>
      </c>
      <c r="N34" s="1">
        <f t="shared" si="1"/>
        <v>35584.400000000001</v>
      </c>
      <c r="O34" s="1" t="str">
        <f t="shared" si="2"/>
        <v>February</v>
      </c>
      <c r="P34" s="1">
        <f t="shared" si="3"/>
        <v>2026</v>
      </c>
    </row>
    <row r="35" spans="1:16">
      <c r="A35" s="1">
        <v>1040</v>
      </c>
      <c r="B35" s="2">
        <v>46051</v>
      </c>
      <c r="C35" s="1" t="s">
        <v>21</v>
      </c>
      <c r="D35" s="1" t="s">
        <v>31</v>
      </c>
      <c r="E35" s="1" t="s">
        <v>23</v>
      </c>
      <c r="F35" s="1" t="s">
        <v>19</v>
      </c>
      <c r="G35" s="1">
        <v>7</v>
      </c>
      <c r="H35" s="1">
        <v>807</v>
      </c>
      <c r="I35" s="5">
        <v>0</v>
      </c>
      <c r="J35" s="1" t="s">
        <v>20</v>
      </c>
      <c r="K35" s="1" t="s">
        <v>21</v>
      </c>
      <c r="L35" s="1">
        <f t="shared" si="0"/>
        <v>5649</v>
      </c>
      <c r="M35" s="1">
        <f t="shared" si="4"/>
        <v>0</v>
      </c>
      <c r="N35" s="1">
        <f t="shared" si="1"/>
        <v>5649</v>
      </c>
      <c r="O35" s="1" t="str">
        <f t="shared" si="2"/>
        <v>January</v>
      </c>
      <c r="P35" s="1">
        <f t="shared" si="3"/>
        <v>2026</v>
      </c>
    </row>
    <row r="36" spans="1:16">
      <c r="A36" s="1">
        <v>1041</v>
      </c>
      <c r="B36" s="2">
        <v>46081</v>
      </c>
      <c r="C36" s="1" t="s">
        <v>39</v>
      </c>
      <c r="D36" s="1" t="s">
        <v>37</v>
      </c>
      <c r="E36" s="1" t="s">
        <v>32</v>
      </c>
      <c r="F36" s="1" t="s">
        <v>28</v>
      </c>
      <c r="G36" s="1">
        <v>8</v>
      </c>
      <c r="H36" s="1">
        <v>1589</v>
      </c>
      <c r="I36" s="5">
        <v>0</v>
      </c>
      <c r="J36" s="1" t="s">
        <v>20</v>
      </c>
      <c r="K36" s="1" t="s">
        <v>21</v>
      </c>
      <c r="L36" s="1">
        <f t="shared" si="0"/>
        <v>12712</v>
      </c>
      <c r="M36" s="1">
        <f t="shared" si="4"/>
        <v>0</v>
      </c>
      <c r="N36" s="1">
        <f t="shared" si="1"/>
        <v>12712</v>
      </c>
      <c r="O36" s="1" t="str">
        <f t="shared" si="2"/>
        <v>February</v>
      </c>
      <c r="P36" s="1">
        <f t="shared" si="3"/>
        <v>2026</v>
      </c>
    </row>
    <row r="37" spans="1:16">
      <c r="A37" s="1">
        <v>1042</v>
      </c>
      <c r="B37" s="2">
        <v>46031</v>
      </c>
      <c r="C37" s="1" t="s">
        <v>42</v>
      </c>
      <c r="D37" s="1" t="s">
        <v>31</v>
      </c>
      <c r="E37" s="1" t="s">
        <v>27</v>
      </c>
      <c r="F37" s="1" t="s">
        <v>28</v>
      </c>
      <c r="G37" s="1">
        <v>5</v>
      </c>
      <c r="H37" s="1">
        <v>9573</v>
      </c>
      <c r="I37" s="5">
        <v>5</v>
      </c>
      <c r="J37" s="1" t="s">
        <v>24</v>
      </c>
      <c r="K37" s="1" t="s">
        <v>21</v>
      </c>
      <c r="L37" s="1">
        <f t="shared" si="0"/>
        <v>47865</v>
      </c>
      <c r="M37" s="1">
        <f t="shared" si="4"/>
        <v>2393.25</v>
      </c>
      <c r="N37" s="1">
        <f t="shared" si="1"/>
        <v>45471.75</v>
      </c>
      <c r="O37" s="1" t="str">
        <f t="shared" si="2"/>
        <v>January</v>
      </c>
      <c r="P37" s="1">
        <f t="shared" si="3"/>
        <v>2026</v>
      </c>
    </row>
    <row r="38" spans="1:16">
      <c r="A38" s="1">
        <v>1043</v>
      </c>
      <c r="B38" s="2">
        <v>46054</v>
      </c>
      <c r="C38" s="1" t="s">
        <v>40</v>
      </c>
      <c r="D38" s="1" t="s">
        <v>17</v>
      </c>
      <c r="E38" s="1" t="s">
        <v>44</v>
      </c>
      <c r="F38" s="1" t="s">
        <v>19</v>
      </c>
      <c r="G38" s="1">
        <v>3</v>
      </c>
      <c r="H38" s="1">
        <v>6939</v>
      </c>
      <c r="I38" s="5">
        <v>0</v>
      </c>
      <c r="J38" s="1" t="s">
        <v>24</v>
      </c>
      <c r="K38" s="1" t="s">
        <v>29</v>
      </c>
      <c r="L38" s="1">
        <f t="shared" si="0"/>
        <v>20817</v>
      </c>
      <c r="M38" s="1">
        <f t="shared" si="4"/>
        <v>0</v>
      </c>
      <c r="N38" s="1">
        <f t="shared" si="1"/>
        <v>20817</v>
      </c>
      <c r="O38" s="1" t="str">
        <f t="shared" si="2"/>
        <v>February</v>
      </c>
      <c r="P38" s="1">
        <f t="shared" si="3"/>
        <v>2026</v>
      </c>
    </row>
    <row r="39" spans="1:16">
      <c r="A39" s="1">
        <v>1044</v>
      </c>
      <c r="B39" s="2">
        <v>46048</v>
      </c>
      <c r="C39" s="1" t="s">
        <v>21</v>
      </c>
      <c r="D39" s="1" t="s">
        <v>31</v>
      </c>
      <c r="E39" s="1" t="s">
        <v>27</v>
      </c>
      <c r="F39" s="1" t="s">
        <v>28</v>
      </c>
      <c r="G39" s="1">
        <v>2</v>
      </c>
      <c r="H39" s="1">
        <v>9517</v>
      </c>
      <c r="I39" s="5">
        <v>5</v>
      </c>
      <c r="J39" s="1" t="s">
        <v>24</v>
      </c>
      <c r="K39" s="1" t="s">
        <v>21</v>
      </c>
      <c r="L39" s="1">
        <f t="shared" si="0"/>
        <v>19034</v>
      </c>
      <c r="M39" s="1">
        <f t="shared" si="4"/>
        <v>951.7</v>
      </c>
      <c r="N39" s="1">
        <f t="shared" si="1"/>
        <v>18082.3</v>
      </c>
      <c r="O39" s="1" t="str">
        <f t="shared" si="2"/>
        <v>January</v>
      </c>
      <c r="P39" s="1">
        <f t="shared" si="3"/>
        <v>2026</v>
      </c>
    </row>
    <row r="40" spans="1:16">
      <c r="A40" s="1">
        <v>1045</v>
      </c>
      <c r="B40" s="2">
        <v>46048</v>
      </c>
      <c r="C40" s="1" t="s">
        <v>30</v>
      </c>
      <c r="D40" s="1" t="s">
        <v>37</v>
      </c>
      <c r="E40" s="1" t="s">
        <v>34</v>
      </c>
      <c r="F40" s="1" t="s">
        <v>19</v>
      </c>
      <c r="G40" s="1">
        <v>10</v>
      </c>
      <c r="H40" s="1">
        <v>15421</v>
      </c>
      <c r="I40" s="5">
        <v>5</v>
      </c>
      <c r="J40" s="1" t="s">
        <v>24</v>
      </c>
      <c r="K40" s="1" t="s">
        <v>21</v>
      </c>
      <c r="L40" s="1">
        <f t="shared" si="0"/>
        <v>154210</v>
      </c>
      <c r="M40" s="1">
        <f t="shared" si="4"/>
        <v>7710.5</v>
      </c>
      <c r="N40" s="1">
        <f t="shared" si="1"/>
        <v>146499.5</v>
      </c>
      <c r="O40" s="1" t="str">
        <f t="shared" si="2"/>
        <v>January</v>
      </c>
      <c r="P40" s="1">
        <f t="shared" si="3"/>
        <v>2026</v>
      </c>
    </row>
    <row r="41" spans="1:16">
      <c r="A41" s="1">
        <v>1046</v>
      </c>
      <c r="B41" s="2">
        <v>46087</v>
      </c>
      <c r="C41" s="1" t="s">
        <v>39</v>
      </c>
      <c r="D41" s="1" t="s">
        <v>17</v>
      </c>
      <c r="E41" s="1" t="s">
        <v>18</v>
      </c>
      <c r="F41" s="1" t="s">
        <v>19</v>
      </c>
      <c r="G41" s="1">
        <v>7</v>
      </c>
      <c r="H41" s="1">
        <v>322</v>
      </c>
      <c r="I41" s="5">
        <v>5</v>
      </c>
      <c r="J41" s="1" t="s">
        <v>20</v>
      </c>
      <c r="K41" s="1" t="s">
        <v>21</v>
      </c>
      <c r="L41" s="1">
        <f t="shared" si="0"/>
        <v>2254</v>
      </c>
      <c r="M41" s="1">
        <f t="shared" si="4"/>
        <v>112.7</v>
      </c>
      <c r="N41" s="1">
        <f t="shared" si="1"/>
        <v>2141.3000000000002</v>
      </c>
      <c r="O41" s="1" t="str">
        <f t="shared" si="2"/>
        <v>March</v>
      </c>
      <c r="P41" s="1">
        <f t="shared" si="3"/>
        <v>2026</v>
      </c>
    </row>
    <row r="42" spans="1:16">
      <c r="A42" s="1">
        <v>1047</v>
      </c>
      <c r="B42" s="2">
        <v>46040</v>
      </c>
      <c r="C42" s="1" t="s">
        <v>36</v>
      </c>
      <c r="D42" s="1" t="s">
        <v>41</v>
      </c>
      <c r="E42" s="1" t="s">
        <v>18</v>
      </c>
      <c r="F42" s="1" t="s">
        <v>19</v>
      </c>
      <c r="G42" s="1">
        <v>8</v>
      </c>
      <c r="H42" s="1">
        <v>929</v>
      </c>
      <c r="I42" s="5">
        <v>5</v>
      </c>
      <c r="J42" s="1" t="s">
        <v>20</v>
      </c>
      <c r="K42" s="1" t="s">
        <v>25</v>
      </c>
      <c r="L42" s="1">
        <f t="shared" si="0"/>
        <v>7432</v>
      </c>
      <c r="M42" s="1">
        <f t="shared" si="4"/>
        <v>371.6</v>
      </c>
      <c r="N42" s="1">
        <f t="shared" si="1"/>
        <v>7060.4</v>
      </c>
      <c r="O42" s="1" t="str">
        <f t="shared" si="2"/>
        <v>January</v>
      </c>
      <c r="P42" s="1">
        <f t="shared" si="3"/>
        <v>2026</v>
      </c>
    </row>
    <row r="43" spans="1:16">
      <c r="A43" s="1">
        <v>1049</v>
      </c>
      <c r="B43" s="2">
        <v>46024</v>
      </c>
      <c r="C43" s="1" t="s">
        <v>36</v>
      </c>
      <c r="D43" s="1" t="s">
        <v>41</v>
      </c>
      <c r="E43" s="1" t="s">
        <v>35</v>
      </c>
      <c r="F43" s="1" t="s">
        <v>19</v>
      </c>
      <c r="G43" s="1">
        <v>1</v>
      </c>
      <c r="H43" s="1">
        <v>8747</v>
      </c>
      <c r="I43" s="5">
        <v>10</v>
      </c>
      <c r="J43" s="1" t="s">
        <v>24</v>
      </c>
      <c r="K43" s="1" t="s">
        <v>25</v>
      </c>
      <c r="L43" s="1">
        <f t="shared" si="0"/>
        <v>8747</v>
      </c>
      <c r="M43" s="1">
        <f t="shared" si="4"/>
        <v>874.7</v>
      </c>
      <c r="N43" s="1">
        <f t="shared" si="1"/>
        <v>7872.3</v>
      </c>
      <c r="O43" s="1" t="str">
        <f t="shared" si="2"/>
        <v>January</v>
      </c>
      <c r="P43" s="1">
        <f t="shared" si="3"/>
        <v>2026</v>
      </c>
    </row>
    <row r="44" spans="1:16">
      <c r="A44" s="1">
        <v>1050</v>
      </c>
      <c r="B44" s="2">
        <v>46098</v>
      </c>
      <c r="C44" s="1" t="s">
        <v>30</v>
      </c>
      <c r="D44" s="1" t="s">
        <v>17</v>
      </c>
      <c r="E44" s="1" t="s">
        <v>32</v>
      </c>
      <c r="F44" s="1" t="s">
        <v>28</v>
      </c>
      <c r="G44" s="1">
        <v>4</v>
      </c>
      <c r="H44" s="1">
        <v>1602</v>
      </c>
      <c r="I44" s="5">
        <v>0</v>
      </c>
      <c r="J44" s="1" t="s">
        <v>20</v>
      </c>
      <c r="K44" s="1" t="s">
        <v>25</v>
      </c>
      <c r="L44" s="1">
        <f t="shared" si="0"/>
        <v>6408</v>
      </c>
      <c r="M44" s="1">
        <f t="shared" si="4"/>
        <v>0</v>
      </c>
      <c r="N44" s="1">
        <f t="shared" si="1"/>
        <v>6408</v>
      </c>
      <c r="O44" s="1" t="str">
        <f t="shared" si="2"/>
        <v>March</v>
      </c>
      <c r="P44" s="1">
        <f t="shared" si="3"/>
        <v>2026</v>
      </c>
    </row>
    <row r="45" spans="1:16">
      <c r="A45" s="1">
        <v>1051</v>
      </c>
      <c r="B45" s="2">
        <v>46069</v>
      </c>
      <c r="C45" s="1" t="s">
        <v>40</v>
      </c>
      <c r="D45" s="1" t="s">
        <v>31</v>
      </c>
      <c r="E45" s="1" t="s">
        <v>23</v>
      </c>
      <c r="F45" s="1" t="s">
        <v>19</v>
      </c>
      <c r="G45" s="1">
        <v>1</v>
      </c>
      <c r="H45" s="1">
        <v>1270</v>
      </c>
      <c r="I45" s="5">
        <v>15</v>
      </c>
      <c r="J45" s="1" t="s">
        <v>24</v>
      </c>
      <c r="K45" s="1" t="s">
        <v>25</v>
      </c>
      <c r="L45" s="1">
        <f t="shared" si="0"/>
        <v>1270</v>
      </c>
      <c r="M45" s="1">
        <f t="shared" si="4"/>
        <v>190.5</v>
      </c>
      <c r="N45" s="1">
        <f t="shared" si="1"/>
        <v>1079.5</v>
      </c>
      <c r="O45" s="1" t="str">
        <f t="shared" si="2"/>
        <v>February</v>
      </c>
      <c r="P45" s="1">
        <f t="shared" si="3"/>
        <v>2026</v>
      </c>
    </row>
    <row r="46" spans="1:16">
      <c r="A46" s="1">
        <v>1053</v>
      </c>
      <c r="B46" s="2">
        <v>46101</v>
      </c>
      <c r="C46" s="1" t="s">
        <v>29</v>
      </c>
      <c r="D46" s="1" t="s">
        <v>17</v>
      </c>
      <c r="E46" s="1" t="s">
        <v>35</v>
      </c>
      <c r="F46" s="1" t="s">
        <v>19</v>
      </c>
      <c r="G46" s="1">
        <v>10</v>
      </c>
      <c r="H46" s="1">
        <v>8887</v>
      </c>
      <c r="I46" s="5">
        <v>15</v>
      </c>
      <c r="J46" s="1" t="s">
        <v>20</v>
      </c>
      <c r="K46" s="1" t="s">
        <v>25</v>
      </c>
      <c r="L46" s="1">
        <f t="shared" si="0"/>
        <v>88870</v>
      </c>
      <c r="M46" s="1">
        <f t="shared" si="4"/>
        <v>13330.5</v>
      </c>
      <c r="N46" s="1">
        <f t="shared" si="1"/>
        <v>75539.5</v>
      </c>
      <c r="O46" s="1" t="str">
        <f t="shared" si="2"/>
        <v>March</v>
      </c>
      <c r="P46" s="1">
        <f t="shared" si="3"/>
        <v>2026</v>
      </c>
    </row>
    <row r="47" spans="1:16">
      <c r="A47" s="1">
        <v>1054</v>
      </c>
      <c r="B47" s="2">
        <v>46048</v>
      </c>
      <c r="C47" s="1" t="s">
        <v>26</v>
      </c>
      <c r="D47" s="1" t="s">
        <v>17</v>
      </c>
      <c r="E47" s="1" t="s">
        <v>35</v>
      </c>
      <c r="F47" s="1" t="s">
        <v>19</v>
      </c>
      <c r="G47" s="1">
        <v>6</v>
      </c>
      <c r="H47" s="1">
        <v>8749</v>
      </c>
      <c r="I47" s="5">
        <v>5</v>
      </c>
      <c r="J47" s="1" t="s">
        <v>24</v>
      </c>
      <c r="K47" s="1" t="s">
        <v>21</v>
      </c>
      <c r="L47" s="1">
        <f t="shared" si="0"/>
        <v>52494</v>
      </c>
      <c r="M47" s="1">
        <f t="shared" si="4"/>
        <v>2624.7000000000003</v>
      </c>
      <c r="N47" s="1">
        <f t="shared" si="1"/>
        <v>49869.3</v>
      </c>
      <c r="O47" s="1" t="str">
        <f t="shared" si="2"/>
        <v>January</v>
      </c>
      <c r="P47" s="1">
        <f t="shared" si="3"/>
        <v>2026</v>
      </c>
    </row>
    <row r="48" spans="1:16">
      <c r="A48" s="1">
        <v>1055</v>
      </c>
      <c r="B48" s="2">
        <v>46057</v>
      </c>
      <c r="C48" s="1" t="s">
        <v>26</v>
      </c>
      <c r="D48" s="1" t="s">
        <v>17</v>
      </c>
      <c r="E48" s="1" t="s">
        <v>34</v>
      </c>
      <c r="F48" s="1" t="s">
        <v>19</v>
      </c>
      <c r="G48" s="1">
        <v>8</v>
      </c>
      <c r="H48" s="1">
        <v>14768</v>
      </c>
      <c r="I48" s="5">
        <v>10</v>
      </c>
      <c r="J48" s="1" t="s">
        <v>24</v>
      </c>
      <c r="K48" s="1" t="s">
        <v>29</v>
      </c>
      <c r="L48" s="1">
        <f t="shared" si="0"/>
        <v>118144</v>
      </c>
      <c r="M48" s="1">
        <f t="shared" si="4"/>
        <v>11814.400000000001</v>
      </c>
      <c r="N48" s="1">
        <f t="shared" si="1"/>
        <v>106329.60000000001</v>
      </c>
      <c r="O48" s="1" t="str">
        <f t="shared" si="2"/>
        <v>February</v>
      </c>
      <c r="P48" s="1">
        <f t="shared" si="3"/>
        <v>2026</v>
      </c>
    </row>
    <row r="49" spans="1:16">
      <c r="A49" s="1">
        <v>1056</v>
      </c>
      <c r="B49" s="2">
        <v>46078</v>
      </c>
      <c r="C49" s="1" t="s">
        <v>39</v>
      </c>
      <c r="D49" s="1" t="s">
        <v>31</v>
      </c>
      <c r="E49" s="1" t="s">
        <v>38</v>
      </c>
      <c r="F49" s="1" t="s">
        <v>28</v>
      </c>
      <c r="G49" s="1">
        <v>9</v>
      </c>
      <c r="H49" s="1">
        <v>3525</v>
      </c>
      <c r="I49" s="5">
        <v>10</v>
      </c>
      <c r="J49" s="1" t="s">
        <v>24</v>
      </c>
      <c r="K49" s="1" t="s">
        <v>29</v>
      </c>
      <c r="L49" s="1">
        <f t="shared" si="0"/>
        <v>31725</v>
      </c>
      <c r="M49" s="1">
        <f t="shared" si="4"/>
        <v>3172.5</v>
      </c>
      <c r="N49" s="1">
        <f t="shared" si="1"/>
        <v>28552.5</v>
      </c>
      <c r="O49" s="1" t="str">
        <f t="shared" si="2"/>
        <v>February</v>
      </c>
      <c r="P49" s="1">
        <f t="shared" si="3"/>
        <v>2026</v>
      </c>
    </row>
    <row r="50" spans="1:16">
      <c r="A50" s="1">
        <v>1057</v>
      </c>
      <c r="B50" s="2">
        <v>46023</v>
      </c>
      <c r="C50" s="1" t="s">
        <v>21</v>
      </c>
      <c r="D50" s="1" t="s">
        <v>31</v>
      </c>
      <c r="E50" s="1" t="s">
        <v>23</v>
      </c>
      <c r="F50" s="1" t="s">
        <v>19</v>
      </c>
      <c r="G50" s="1">
        <v>5</v>
      </c>
      <c r="H50" s="1">
        <v>890</v>
      </c>
      <c r="I50" s="5">
        <v>5</v>
      </c>
      <c r="J50" s="1" t="s">
        <v>20</v>
      </c>
      <c r="K50" s="1" t="s">
        <v>25</v>
      </c>
      <c r="L50" s="1">
        <f t="shared" si="0"/>
        <v>4450</v>
      </c>
      <c r="M50" s="1">
        <f t="shared" si="4"/>
        <v>222.5</v>
      </c>
      <c r="N50" s="1">
        <f t="shared" si="1"/>
        <v>4227.5</v>
      </c>
      <c r="O50" s="1" t="str">
        <f t="shared" si="2"/>
        <v>January</v>
      </c>
      <c r="P50" s="1">
        <f t="shared" si="3"/>
        <v>2026</v>
      </c>
    </row>
    <row r="51" spans="1:16">
      <c r="A51" s="1">
        <v>1058</v>
      </c>
      <c r="B51" s="2">
        <v>46025</v>
      </c>
      <c r="C51" s="1" t="s">
        <v>21</v>
      </c>
      <c r="D51" s="1" t="s">
        <v>37</v>
      </c>
      <c r="E51" s="1" t="s">
        <v>23</v>
      </c>
      <c r="F51" s="1" t="s">
        <v>19</v>
      </c>
      <c r="G51" s="1">
        <v>1</v>
      </c>
      <c r="H51" s="1">
        <v>1122</v>
      </c>
      <c r="I51" s="5">
        <v>15</v>
      </c>
      <c r="J51" s="1" t="s">
        <v>20</v>
      </c>
      <c r="K51" s="1" t="s">
        <v>25</v>
      </c>
      <c r="L51" s="1">
        <f t="shared" si="0"/>
        <v>1122</v>
      </c>
      <c r="M51" s="1">
        <f t="shared" si="4"/>
        <v>168.29999999999998</v>
      </c>
      <c r="N51" s="1">
        <f t="shared" si="1"/>
        <v>953.7</v>
      </c>
      <c r="O51" s="1" t="str">
        <f t="shared" si="2"/>
        <v>January</v>
      </c>
      <c r="P51" s="1">
        <f t="shared" si="3"/>
        <v>2026</v>
      </c>
    </row>
    <row r="52" spans="1:16">
      <c r="A52" s="1">
        <v>1059</v>
      </c>
      <c r="B52" s="2">
        <v>46035</v>
      </c>
      <c r="C52" s="1" t="s">
        <v>42</v>
      </c>
      <c r="D52" s="1" t="s">
        <v>17</v>
      </c>
      <c r="E52" s="1" t="s">
        <v>34</v>
      </c>
      <c r="F52" s="1" t="s">
        <v>19</v>
      </c>
      <c r="G52" s="1">
        <v>9</v>
      </c>
      <c r="H52" s="1">
        <v>15211</v>
      </c>
      <c r="I52" s="5">
        <v>15</v>
      </c>
      <c r="J52" s="1" t="s">
        <v>20</v>
      </c>
      <c r="K52" s="1" t="s">
        <v>29</v>
      </c>
      <c r="L52" s="1">
        <f t="shared" si="0"/>
        <v>136899</v>
      </c>
      <c r="M52" s="1">
        <f t="shared" si="4"/>
        <v>20534.849999999999</v>
      </c>
      <c r="N52" s="1">
        <f t="shared" si="1"/>
        <v>116364.15</v>
      </c>
      <c r="O52" s="1" t="str">
        <f t="shared" si="2"/>
        <v>January</v>
      </c>
      <c r="P52" s="1">
        <f t="shared" si="3"/>
        <v>2026</v>
      </c>
    </row>
    <row r="53" spans="1:16">
      <c r="A53" s="1">
        <v>1060</v>
      </c>
      <c r="B53" s="2">
        <v>46063</v>
      </c>
      <c r="C53" s="1" t="s">
        <v>30</v>
      </c>
      <c r="D53" s="1" t="s">
        <v>17</v>
      </c>
      <c r="E53" s="1" t="s">
        <v>27</v>
      </c>
      <c r="F53" s="1" t="s">
        <v>28</v>
      </c>
      <c r="G53" s="1">
        <v>9</v>
      </c>
      <c r="H53" s="1">
        <v>9555</v>
      </c>
      <c r="I53" s="5">
        <v>0</v>
      </c>
      <c r="J53" s="1" t="s">
        <v>20</v>
      </c>
      <c r="K53" s="1" t="s">
        <v>29</v>
      </c>
      <c r="L53" s="1">
        <f t="shared" si="0"/>
        <v>85995</v>
      </c>
      <c r="M53" s="1">
        <f t="shared" si="4"/>
        <v>0</v>
      </c>
      <c r="N53" s="1">
        <f t="shared" si="1"/>
        <v>85995</v>
      </c>
      <c r="O53" s="1" t="str">
        <f t="shared" si="2"/>
        <v>February</v>
      </c>
      <c r="P53" s="1">
        <f t="shared" si="3"/>
        <v>2026</v>
      </c>
    </row>
    <row r="54" spans="1:16">
      <c r="A54" s="1">
        <v>1061</v>
      </c>
      <c r="B54" s="2">
        <v>46059</v>
      </c>
      <c r="C54" s="1" t="s">
        <v>29</v>
      </c>
      <c r="D54" s="1" t="s">
        <v>37</v>
      </c>
      <c r="E54" s="1" t="s">
        <v>32</v>
      </c>
      <c r="F54" s="1" t="s">
        <v>28</v>
      </c>
      <c r="G54" s="1">
        <v>7</v>
      </c>
      <c r="H54" s="1">
        <v>1103</v>
      </c>
      <c r="I54" s="5">
        <v>15</v>
      </c>
      <c r="J54" s="1" t="s">
        <v>24</v>
      </c>
      <c r="K54" s="1" t="s">
        <v>25</v>
      </c>
      <c r="L54" s="1">
        <f t="shared" si="0"/>
        <v>7721</v>
      </c>
      <c r="M54" s="1">
        <f t="shared" si="4"/>
        <v>1158.1499999999999</v>
      </c>
      <c r="N54" s="1">
        <f t="shared" si="1"/>
        <v>6562.85</v>
      </c>
      <c r="O54" s="1" t="str">
        <f t="shared" si="2"/>
        <v>February</v>
      </c>
      <c r="P54" s="1">
        <f t="shared" si="3"/>
        <v>2026</v>
      </c>
    </row>
    <row r="55" spans="1:16">
      <c r="A55" s="1">
        <v>1062</v>
      </c>
      <c r="B55" s="2">
        <v>46069</v>
      </c>
      <c r="C55" s="1" t="s">
        <v>33</v>
      </c>
      <c r="D55" s="1" t="s">
        <v>17</v>
      </c>
      <c r="E55" s="1" t="s">
        <v>32</v>
      </c>
      <c r="F55" s="1" t="s">
        <v>28</v>
      </c>
      <c r="G55" s="1">
        <v>7</v>
      </c>
      <c r="H55" s="1">
        <v>921</v>
      </c>
      <c r="I55" s="5">
        <v>0</v>
      </c>
      <c r="J55" s="1" t="s">
        <v>24</v>
      </c>
      <c r="K55" s="1" t="s">
        <v>21</v>
      </c>
      <c r="L55" s="1">
        <f t="shared" si="0"/>
        <v>6447</v>
      </c>
      <c r="M55" s="1">
        <f t="shared" si="4"/>
        <v>0</v>
      </c>
      <c r="N55" s="1">
        <f t="shared" si="1"/>
        <v>6447</v>
      </c>
      <c r="O55" s="1" t="str">
        <f t="shared" si="2"/>
        <v>February</v>
      </c>
      <c r="P55" s="1">
        <f t="shared" si="3"/>
        <v>2026</v>
      </c>
    </row>
    <row r="56" spans="1:16">
      <c r="A56" s="1">
        <v>1063</v>
      </c>
      <c r="B56" s="2">
        <v>46050</v>
      </c>
      <c r="C56" s="1" t="s">
        <v>39</v>
      </c>
      <c r="D56" s="1" t="s">
        <v>37</v>
      </c>
      <c r="E56" s="1" t="s">
        <v>23</v>
      </c>
      <c r="F56" s="1" t="s">
        <v>19</v>
      </c>
      <c r="G56" s="1">
        <v>8</v>
      </c>
      <c r="H56" s="1">
        <v>980</v>
      </c>
      <c r="I56" s="5">
        <v>5</v>
      </c>
      <c r="J56" s="1" t="s">
        <v>24</v>
      </c>
      <c r="K56" s="1" t="s">
        <v>29</v>
      </c>
      <c r="L56" s="1">
        <f t="shared" si="0"/>
        <v>7840</v>
      </c>
      <c r="M56" s="1">
        <f t="shared" si="4"/>
        <v>392</v>
      </c>
      <c r="N56" s="1">
        <f t="shared" si="1"/>
        <v>7448</v>
      </c>
      <c r="O56" s="1" t="str">
        <f t="shared" si="2"/>
        <v>January</v>
      </c>
      <c r="P56" s="1">
        <f t="shared" si="3"/>
        <v>2026</v>
      </c>
    </row>
    <row r="57" spans="1:16">
      <c r="A57" s="1">
        <v>1064</v>
      </c>
      <c r="B57" s="2">
        <v>46046</v>
      </c>
      <c r="C57" s="1" t="s">
        <v>29</v>
      </c>
      <c r="D57" s="1" t="s">
        <v>17</v>
      </c>
      <c r="E57" s="1" t="s">
        <v>18</v>
      </c>
      <c r="F57" s="1" t="s">
        <v>19</v>
      </c>
      <c r="G57" s="1">
        <v>3</v>
      </c>
      <c r="H57" s="1">
        <v>711</v>
      </c>
      <c r="I57" s="5">
        <v>15</v>
      </c>
      <c r="J57" s="1" t="s">
        <v>20</v>
      </c>
      <c r="K57" s="1" t="s">
        <v>21</v>
      </c>
      <c r="L57" s="1">
        <f t="shared" si="0"/>
        <v>2133</v>
      </c>
      <c r="M57" s="1">
        <f t="shared" si="4"/>
        <v>319.95</v>
      </c>
      <c r="N57" s="1">
        <f t="shared" si="1"/>
        <v>1813.05</v>
      </c>
      <c r="O57" s="1" t="str">
        <f t="shared" si="2"/>
        <v>January</v>
      </c>
      <c r="P57" s="1">
        <f t="shared" si="3"/>
        <v>2026</v>
      </c>
    </row>
    <row r="58" spans="1:16">
      <c r="A58" s="1">
        <v>1065</v>
      </c>
      <c r="B58" s="2">
        <v>46086</v>
      </c>
      <c r="C58" s="1" t="s">
        <v>29</v>
      </c>
      <c r="D58" s="1" t="s">
        <v>17</v>
      </c>
      <c r="E58" s="1" t="s">
        <v>38</v>
      </c>
      <c r="F58" s="1" t="s">
        <v>28</v>
      </c>
      <c r="G58" s="1">
        <v>9</v>
      </c>
      <c r="H58" s="1">
        <v>3830</v>
      </c>
      <c r="I58" s="5">
        <v>0</v>
      </c>
      <c r="J58" s="1" t="s">
        <v>20</v>
      </c>
      <c r="K58" s="1" t="s">
        <v>25</v>
      </c>
      <c r="L58" s="1">
        <f t="shared" si="0"/>
        <v>34470</v>
      </c>
      <c r="M58" s="1">
        <f t="shared" si="4"/>
        <v>0</v>
      </c>
      <c r="N58" s="1">
        <f t="shared" si="1"/>
        <v>34470</v>
      </c>
      <c r="O58" s="1" t="str">
        <f t="shared" si="2"/>
        <v>March</v>
      </c>
      <c r="P58" s="1">
        <f t="shared" si="3"/>
        <v>2026</v>
      </c>
    </row>
    <row r="59" spans="1:16">
      <c r="A59" s="1">
        <v>1066</v>
      </c>
      <c r="B59" s="2">
        <v>46096</v>
      </c>
      <c r="C59" s="1" t="s">
        <v>22</v>
      </c>
      <c r="D59" s="1" t="s">
        <v>37</v>
      </c>
      <c r="E59" s="1" t="s">
        <v>32</v>
      </c>
      <c r="F59" s="1" t="s">
        <v>28</v>
      </c>
      <c r="G59" s="1">
        <v>6</v>
      </c>
      <c r="H59" s="1">
        <v>1504</v>
      </c>
      <c r="I59" s="5">
        <v>5</v>
      </c>
      <c r="J59" s="1" t="s">
        <v>20</v>
      </c>
      <c r="K59" s="1" t="s">
        <v>21</v>
      </c>
      <c r="L59" s="1">
        <f t="shared" si="0"/>
        <v>9024</v>
      </c>
      <c r="M59" s="1">
        <f t="shared" si="4"/>
        <v>451.20000000000005</v>
      </c>
      <c r="N59" s="1">
        <f t="shared" si="1"/>
        <v>8572.7999999999993</v>
      </c>
      <c r="O59" s="1" t="str">
        <f t="shared" si="2"/>
        <v>March</v>
      </c>
      <c r="P59" s="1">
        <f t="shared" si="3"/>
        <v>2026</v>
      </c>
    </row>
    <row r="60" spans="1:16">
      <c r="A60" s="1">
        <v>1067</v>
      </c>
      <c r="B60" s="2">
        <v>46059</v>
      </c>
      <c r="C60" s="1" t="s">
        <v>22</v>
      </c>
      <c r="D60" s="1" t="s">
        <v>37</v>
      </c>
      <c r="E60" s="1" t="s">
        <v>18</v>
      </c>
      <c r="F60" s="1" t="s">
        <v>19</v>
      </c>
      <c r="G60" s="1">
        <v>2</v>
      </c>
      <c r="H60" s="1">
        <v>671</v>
      </c>
      <c r="I60" s="5">
        <v>10</v>
      </c>
      <c r="J60" s="1" t="s">
        <v>24</v>
      </c>
      <c r="K60" s="1" t="s">
        <v>29</v>
      </c>
      <c r="L60" s="1">
        <f t="shared" si="0"/>
        <v>1342</v>
      </c>
      <c r="M60" s="1">
        <f t="shared" si="4"/>
        <v>134.20000000000002</v>
      </c>
      <c r="N60" s="1">
        <f t="shared" si="1"/>
        <v>1207.8</v>
      </c>
      <c r="O60" s="1" t="str">
        <f t="shared" si="2"/>
        <v>February</v>
      </c>
      <c r="P60" s="1">
        <f t="shared" si="3"/>
        <v>2026</v>
      </c>
    </row>
    <row r="61" spans="1:16">
      <c r="A61" s="1">
        <v>1068</v>
      </c>
      <c r="B61" s="2">
        <v>46097</v>
      </c>
      <c r="C61" s="1" t="s">
        <v>22</v>
      </c>
      <c r="D61" s="1" t="s">
        <v>31</v>
      </c>
      <c r="E61" s="1" t="s">
        <v>18</v>
      </c>
      <c r="F61" s="1" t="s">
        <v>19</v>
      </c>
      <c r="G61" s="1">
        <v>5</v>
      </c>
      <c r="H61" s="1">
        <v>2</v>
      </c>
      <c r="I61" s="5">
        <v>10</v>
      </c>
      <c r="J61" s="1" t="s">
        <v>24</v>
      </c>
      <c r="K61" s="1" t="s">
        <v>25</v>
      </c>
      <c r="L61" s="1">
        <f t="shared" si="0"/>
        <v>10</v>
      </c>
      <c r="M61" s="1">
        <f t="shared" si="4"/>
        <v>1</v>
      </c>
      <c r="N61" s="1">
        <f t="shared" si="1"/>
        <v>9</v>
      </c>
      <c r="O61" s="1" t="str">
        <f t="shared" si="2"/>
        <v>March</v>
      </c>
      <c r="P61" s="1">
        <f t="shared" si="3"/>
        <v>2026</v>
      </c>
    </row>
    <row r="62" spans="1:16">
      <c r="A62" s="1">
        <v>1069</v>
      </c>
      <c r="B62" s="2">
        <v>46025</v>
      </c>
      <c r="C62" s="1" t="s">
        <v>36</v>
      </c>
      <c r="D62" s="1" t="s">
        <v>17</v>
      </c>
      <c r="E62" s="1" t="s">
        <v>38</v>
      </c>
      <c r="F62" s="1" t="s">
        <v>28</v>
      </c>
      <c r="G62" s="1">
        <v>4</v>
      </c>
      <c r="H62" s="1">
        <v>3556</v>
      </c>
      <c r="I62" s="5">
        <v>0</v>
      </c>
      <c r="J62" s="1" t="s">
        <v>24</v>
      </c>
      <c r="K62" s="1" t="s">
        <v>29</v>
      </c>
      <c r="L62" s="1">
        <f t="shared" si="0"/>
        <v>14224</v>
      </c>
      <c r="M62" s="1">
        <f t="shared" si="4"/>
        <v>0</v>
      </c>
      <c r="N62" s="1">
        <f t="shared" si="1"/>
        <v>14224</v>
      </c>
      <c r="O62" s="1" t="str">
        <f t="shared" si="2"/>
        <v>January</v>
      </c>
      <c r="P62" s="1">
        <f t="shared" si="3"/>
        <v>2026</v>
      </c>
    </row>
    <row r="63" spans="1:16">
      <c r="A63" s="1">
        <v>1070</v>
      </c>
      <c r="B63" s="2">
        <v>46106</v>
      </c>
      <c r="C63" s="1" t="s">
        <v>36</v>
      </c>
      <c r="D63" s="1" t="s">
        <v>41</v>
      </c>
      <c r="E63" s="1" t="s">
        <v>44</v>
      </c>
      <c r="F63" s="1" t="s">
        <v>19</v>
      </c>
      <c r="G63" s="1">
        <v>1</v>
      </c>
      <c r="H63" s="1">
        <v>6976</v>
      </c>
      <c r="I63" s="5">
        <v>0</v>
      </c>
      <c r="J63" s="1" t="s">
        <v>24</v>
      </c>
      <c r="K63" s="1" t="s">
        <v>29</v>
      </c>
      <c r="L63" s="1">
        <f t="shared" si="0"/>
        <v>6976</v>
      </c>
      <c r="M63" s="1">
        <f t="shared" si="4"/>
        <v>0</v>
      </c>
      <c r="N63" s="1">
        <f t="shared" si="1"/>
        <v>6976</v>
      </c>
      <c r="O63" s="1" t="str">
        <f t="shared" si="2"/>
        <v>March</v>
      </c>
      <c r="P63" s="1">
        <f t="shared" si="3"/>
        <v>2026</v>
      </c>
    </row>
    <row r="64" spans="1:16">
      <c r="A64" s="1">
        <v>1071</v>
      </c>
      <c r="B64" s="2">
        <v>46040</v>
      </c>
      <c r="C64" s="1" t="s">
        <v>43</v>
      </c>
      <c r="D64" s="1" t="s">
        <v>31</v>
      </c>
      <c r="E64" s="1" t="s">
        <v>35</v>
      </c>
      <c r="F64" s="1" t="s">
        <v>19</v>
      </c>
      <c r="G64" s="1">
        <v>1</v>
      </c>
      <c r="H64" s="1">
        <v>9478</v>
      </c>
      <c r="I64" s="5">
        <v>0</v>
      </c>
      <c r="J64" s="1" t="s">
        <v>24</v>
      </c>
      <c r="K64" s="1" t="s">
        <v>21</v>
      </c>
      <c r="L64" s="1">
        <f t="shared" si="0"/>
        <v>9478</v>
      </c>
      <c r="M64" s="1">
        <f t="shared" si="4"/>
        <v>0</v>
      </c>
      <c r="N64" s="1">
        <f t="shared" si="1"/>
        <v>9478</v>
      </c>
      <c r="O64" s="1" t="str">
        <f t="shared" si="2"/>
        <v>January</v>
      </c>
      <c r="P64" s="1">
        <f t="shared" si="3"/>
        <v>2026</v>
      </c>
    </row>
    <row r="65" spans="1:16">
      <c r="A65" s="1">
        <v>1072</v>
      </c>
      <c r="B65" s="2">
        <v>46058</v>
      </c>
      <c r="C65" s="1" t="s">
        <v>29</v>
      </c>
      <c r="D65" s="1" t="s">
        <v>17</v>
      </c>
      <c r="E65" s="1" t="s">
        <v>34</v>
      </c>
      <c r="F65" s="1" t="s">
        <v>19</v>
      </c>
      <c r="G65" s="1">
        <v>5</v>
      </c>
      <c r="H65" s="1">
        <v>15251</v>
      </c>
      <c r="I65" s="5">
        <v>10</v>
      </c>
      <c r="J65" s="1" t="s">
        <v>24</v>
      </c>
      <c r="K65" s="1" t="s">
        <v>25</v>
      </c>
      <c r="L65" s="1">
        <f t="shared" si="0"/>
        <v>76255</v>
      </c>
      <c r="M65" s="1">
        <f t="shared" si="4"/>
        <v>7625.5</v>
      </c>
      <c r="N65" s="1">
        <f t="shared" si="1"/>
        <v>68629.5</v>
      </c>
      <c r="O65" s="1" t="str">
        <f t="shared" si="2"/>
        <v>February</v>
      </c>
      <c r="P65" s="1">
        <f t="shared" si="3"/>
        <v>2026</v>
      </c>
    </row>
    <row r="66" spans="1:16">
      <c r="A66" s="1">
        <v>1073</v>
      </c>
      <c r="B66" s="2">
        <v>46044</v>
      </c>
      <c r="C66" s="1" t="s">
        <v>29</v>
      </c>
      <c r="D66" s="1" t="s">
        <v>41</v>
      </c>
      <c r="E66" s="1" t="s">
        <v>27</v>
      </c>
      <c r="F66" s="1" t="s">
        <v>28</v>
      </c>
      <c r="G66" s="1">
        <v>2</v>
      </c>
      <c r="H66" s="1">
        <v>10036</v>
      </c>
      <c r="I66" s="5">
        <v>0</v>
      </c>
      <c r="J66" s="1" t="s">
        <v>20</v>
      </c>
      <c r="K66" s="1" t="s">
        <v>29</v>
      </c>
      <c r="L66" s="1">
        <f t="shared" si="0"/>
        <v>20072</v>
      </c>
      <c r="M66" s="1">
        <f t="shared" ref="M66:M129" si="5">L66*(I66/100)</f>
        <v>0</v>
      </c>
      <c r="N66" s="1">
        <f t="shared" si="1"/>
        <v>20072</v>
      </c>
      <c r="O66" s="1" t="str">
        <f t="shared" si="2"/>
        <v>January</v>
      </c>
      <c r="P66" s="1">
        <f t="shared" si="3"/>
        <v>2026</v>
      </c>
    </row>
    <row r="67" spans="1:16">
      <c r="A67" s="1">
        <v>1074</v>
      </c>
      <c r="B67" s="2">
        <v>46032</v>
      </c>
      <c r="C67" s="1" t="s">
        <v>39</v>
      </c>
      <c r="D67" s="1" t="s">
        <v>17</v>
      </c>
      <c r="E67" s="1" t="s">
        <v>18</v>
      </c>
      <c r="F67" s="1" t="s">
        <v>19</v>
      </c>
      <c r="G67" s="1">
        <v>2</v>
      </c>
      <c r="H67" s="1">
        <v>840</v>
      </c>
      <c r="I67" s="5">
        <v>5</v>
      </c>
      <c r="J67" s="1" t="s">
        <v>24</v>
      </c>
      <c r="K67" s="1" t="s">
        <v>21</v>
      </c>
      <c r="L67" s="1">
        <f t="shared" ref="L67:L130" si="6">G67*H67</f>
        <v>1680</v>
      </c>
      <c r="M67" s="1">
        <f t="shared" si="5"/>
        <v>84</v>
      </c>
      <c r="N67" s="1">
        <f t="shared" ref="N67:N130" si="7">L67-M67</f>
        <v>1596</v>
      </c>
      <c r="O67" s="1" t="str">
        <f t="shared" ref="O67:O130" si="8">TEXT(B67,"mmmm")</f>
        <v>January</v>
      </c>
      <c r="P67" s="1">
        <f t="shared" ref="P67:P130" si="9">YEAR(B67)</f>
        <v>2026</v>
      </c>
    </row>
    <row r="68" spans="1:16">
      <c r="A68" s="1">
        <v>1075</v>
      </c>
      <c r="B68" s="2">
        <v>46053</v>
      </c>
      <c r="C68" s="1" t="s">
        <v>40</v>
      </c>
      <c r="D68" s="1" t="s">
        <v>17</v>
      </c>
      <c r="E68" s="1" t="s">
        <v>23</v>
      </c>
      <c r="F68" s="1" t="s">
        <v>19</v>
      </c>
      <c r="G68" s="1">
        <v>2</v>
      </c>
      <c r="H68" s="1">
        <v>541</v>
      </c>
      <c r="I68" s="5">
        <v>0</v>
      </c>
      <c r="J68" s="1" t="s">
        <v>20</v>
      </c>
      <c r="K68" s="1" t="s">
        <v>29</v>
      </c>
      <c r="L68" s="1">
        <f t="shared" si="6"/>
        <v>1082</v>
      </c>
      <c r="M68" s="1">
        <f t="shared" si="5"/>
        <v>0</v>
      </c>
      <c r="N68" s="1">
        <f t="shared" si="7"/>
        <v>1082</v>
      </c>
      <c r="O68" s="1" t="str">
        <f t="shared" si="8"/>
        <v>January</v>
      </c>
      <c r="P68" s="1">
        <f t="shared" si="9"/>
        <v>2026</v>
      </c>
    </row>
    <row r="69" spans="1:16">
      <c r="A69" s="1">
        <v>1076</v>
      </c>
      <c r="B69" s="2">
        <v>46059</v>
      </c>
      <c r="C69" s="1" t="s">
        <v>22</v>
      </c>
      <c r="D69" s="1" t="s">
        <v>17</v>
      </c>
      <c r="E69" s="1" t="s">
        <v>27</v>
      </c>
      <c r="F69" s="1" t="s">
        <v>28</v>
      </c>
      <c r="G69" s="1">
        <v>5</v>
      </c>
      <c r="H69" s="1">
        <v>9884</v>
      </c>
      <c r="I69" s="5">
        <v>15</v>
      </c>
      <c r="J69" s="1" t="s">
        <v>24</v>
      </c>
      <c r="K69" s="1" t="s">
        <v>29</v>
      </c>
      <c r="L69" s="1">
        <f t="shared" si="6"/>
        <v>49420</v>
      </c>
      <c r="M69" s="1">
        <f t="shared" si="5"/>
        <v>7413</v>
      </c>
      <c r="N69" s="1">
        <f t="shared" si="7"/>
        <v>42007</v>
      </c>
      <c r="O69" s="1" t="str">
        <f t="shared" si="8"/>
        <v>February</v>
      </c>
      <c r="P69" s="1">
        <f t="shared" si="9"/>
        <v>2026</v>
      </c>
    </row>
    <row r="70" spans="1:16">
      <c r="A70" s="1">
        <v>1077</v>
      </c>
      <c r="B70" s="2">
        <v>46084</v>
      </c>
      <c r="C70" s="1" t="s">
        <v>36</v>
      </c>
      <c r="D70" s="1" t="s">
        <v>41</v>
      </c>
      <c r="E70" s="1" t="s">
        <v>18</v>
      </c>
      <c r="F70" s="1" t="s">
        <v>19</v>
      </c>
      <c r="G70" s="1">
        <v>8</v>
      </c>
      <c r="H70" s="1">
        <v>121</v>
      </c>
      <c r="I70" s="5">
        <v>10</v>
      </c>
      <c r="J70" s="1" t="s">
        <v>20</v>
      </c>
      <c r="K70" s="1" t="s">
        <v>25</v>
      </c>
      <c r="L70" s="1">
        <f t="shared" si="6"/>
        <v>968</v>
      </c>
      <c r="M70" s="1">
        <f t="shared" si="5"/>
        <v>96.800000000000011</v>
      </c>
      <c r="N70" s="1">
        <f t="shared" si="7"/>
        <v>871.2</v>
      </c>
      <c r="O70" s="1" t="str">
        <f t="shared" si="8"/>
        <v>March</v>
      </c>
      <c r="P70" s="1">
        <f t="shared" si="9"/>
        <v>2026</v>
      </c>
    </row>
    <row r="71" spans="1:16">
      <c r="A71" s="1">
        <v>1078</v>
      </c>
      <c r="B71" s="2">
        <v>46078</v>
      </c>
      <c r="C71" s="1" t="s">
        <v>29</v>
      </c>
      <c r="D71" s="1" t="s">
        <v>17</v>
      </c>
      <c r="E71" s="1" t="s">
        <v>32</v>
      </c>
      <c r="F71" s="1" t="s">
        <v>28</v>
      </c>
      <c r="G71" s="1">
        <v>4</v>
      </c>
      <c r="H71" s="1">
        <v>1265</v>
      </c>
      <c r="I71" s="5">
        <v>10</v>
      </c>
      <c r="J71" s="1" t="s">
        <v>20</v>
      </c>
      <c r="K71" s="1" t="s">
        <v>29</v>
      </c>
      <c r="L71" s="1">
        <f t="shared" si="6"/>
        <v>5060</v>
      </c>
      <c r="M71" s="1">
        <f t="shared" si="5"/>
        <v>506</v>
      </c>
      <c r="N71" s="1">
        <f t="shared" si="7"/>
        <v>4554</v>
      </c>
      <c r="O71" s="1" t="str">
        <f t="shared" si="8"/>
        <v>February</v>
      </c>
      <c r="P71" s="1">
        <f t="shared" si="9"/>
        <v>2026</v>
      </c>
    </row>
    <row r="72" spans="1:16">
      <c r="A72" s="1">
        <v>1079</v>
      </c>
      <c r="B72" s="2">
        <v>46092</v>
      </c>
      <c r="C72" s="1" t="s">
        <v>21</v>
      </c>
      <c r="D72" s="1" t="s">
        <v>41</v>
      </c>
      <c r="E72" s="1" t="s">
        <v>44</v>
      </c>
      <c r="F72" s="1" t="s">
        <v>19</v>
      </c>
      <c r="G72" s="1">
        <v>10</v>
      </c>
      <c r="H72" s="1">
        <v>7025</v>
      </c>
      <c r="I72" s="5">
        <v>0</v>
      </c>
      <c r="J72" s="1" t="s">
        <v>24</v>
      </c>
      <c r="K72" s="1" t="s">
        <v>25</v>
      </c>
      <c r="L72" s="1">
        <f t="shared" si="6"/>
        <v>70250</v>
      </c>
      <c r="M72" s="1">
        <f t="shared" si="5"/>
        <v>0</v>
      </c>
      <c r="N72" s="1">
        <f t="shared" si="7"/>
        <v>70250</v>
      </c>
      <c r="O72" s="1" t="str">
        <f t="shared" si="8"/>
        <v>March</v>
      </c>
      <c r="P72" s="1">
        <f t="shared" si="9"/>
        <v>2026</v>
      </c>
    </row>
    <row r="73" spans="1:16">
      <c r="A73" s="1">
        <v>1080</v>
      </c>
      <c r="B73" s="2">
        <v>46037</v>
      </c>
      <c r="C73" s="1" t="s">
        <v>33</v>
      </c>
      <c r="D73" s="1" t="s">
        <v>17</v>
      </c>
      <c r="E73" s="1" t="s">
        <v>44</v>
      </c>
      <c r="F73" s="1" t="s">
        <v>19</v>
      </c>
      <c r="G73" s="1">
        <v>6</v>
      </c>
      <c r="H73" s="1">
        <v>7127</v>
      </c>
      <c r="I73" s="5">
        <v>15</v>
      </c>
      <c r="J73" s="1" t="s">
        <v>24</v>
      </c>
      <c r="K73" s="1" t="s">
        <v>25</v>
      </c>
      <c r="L73" s="1">
        <f t="shared" si="6"/>
        <v>42762</v>
      </c>
      <c r="M73" s="1">
        <f t="shared" si="5"/>
        <v>6414.3</v>
      </c>
      <c r="N73" s="1">
        <f t="shared" si="7"/>
        <v>36347.699999999997</v>
      </c>
      <c r="O73" s="1" t="str">
        <f t="shared" si="8"/>
        <v>January</v>
      </c>
      <c r="P73" s="1">
        <f t="shared" si="9"/>
        <v>2026</v>
      </c>
    </row>
    <row r="74" spans="1:16">
      <c r="A74" s="1">
        <v>1081</v>
      </c>
      <c r="B74" s="2">
        <v>46106</v>
      </c>
      <c r="C74" s="1" t="s">
        <v>33</v>
      </c>
      <c r="D74" s="1" t="s">
        <v>31</v>
      </c>
      <c r="E74" s="1" t="s">
        <v>23</v>
      </c>
      <c r="F74" s="1" t="s">
        <v>19</v>
      </c>
      <c r="G74" s="1">
        <v>1</v>
      </c>
      <c r="H74" s="1">
        <v>546</v>
      </c>
      <c r="I74" s="5">
        <v>0</v>
      </c>
      <c r="J74" s="1" t="s">
        <v>20</v>
      </c>
      <c r="K74" s="1" t="s">
        <v>29</v>
      </c>
      <c r="L74" s="1">
        <f t="shared" si="6"/>
        <v>546</v>
      </c>
      <c r="M74" s="1">
        <f t="shared" si="5"/>
        <v>0</v>
      </c>
      <c r="N74" s="1">
        <f t="shared" si="7"/>
        <v>546</v>
      </c>
      <c r="O74" s="1" t="str">
        <f t="shared" si="8"/>
        <v>March</v>
      </c>
      <c r="P74" s="1">
        <f t="shared" si="9"/>
        <v>2026</v>
      </c>
    </row>
    <row r="75" spans="1:16">
      <c r="A75" s="1">
        <v>1082</v>
      </c>
      <c r="B75" s="2">
        <v>46082</v>
      </c>
      <c r="C75" s="1" t="s">
        <v>22</v>
      </c>
      <c r="D75" s="1" t="s">
        <v>41</v>
      </c>
      <c r="E75" s="1" t="s">
        <v>44</v>
      </c>
      <c r="F75" s="1" t="s">
        <v>19</v>
      </c>
      <c r="G75" s="1">
        <v>6</v>
      </c>
      <c r="H75" s="1">
        <v>7240</v>
      </c>
      <c r="I75" s="5">
        <v>10</v>
      </c>
      <c r="J75" s="1" t="s">
        <v>20</v>
      </c>
      <c r="K75" s="1" t="s">
        <v>29</v>
      </c>
      <c r="L75" s="1">
        <f t="shared" si="6"/>
        <v>43440</v>
      </c>
      <c r="M75" s="1">
        <f t="shared" si="5"/>
        <v>4344</v>
      </c>
      <c r="N75" s="1">
        <f t="shared" si="7"/>
        <v>39096</v>
      </c>
      <c r="O75" s="1" t="str">
        <f t="shared" si="8"/>
        <v>March</v>
      </c>
      <c r="P75" s="1">
        <f t="shared" si="9"/>
        <v>2026</v>
      </c>
    </row>
    <row r="76" spans="1:16">
      <c r="A76" s="1">
        <v>1083</v>
      </c>
      <c r="B76" s="2">
        <v>46036</v>
      </c>
      <c r="C76" s="1" t="s">
        <v>42</v>
      </c>
      <c r="D76" s="1" t="s">
        <v>31</v>
      </c>
      <c r="E76" s="1" t="s">
        <v>44</v>
      </c>
      <c r="F76" s="1" t="s">
        <v>19</v>
      </c>
      <c r="G76" s="1">
        <v>5</v>
      </c>
      <c r="H76" s="1">
        <v>7206</v>
      </c>
      <c r="I76" s="5">
        <v>5</v>
      </c>
      <c r="J76" s="1" t="s">
        <v>24</v>
      </c>
      <c r="K76" s="1" t="s">
        <v>21</v>
      </c>
      <c r="L76" s="1">
        <f t="shared" si="6"/>
        <v>36030</v>
      </c>
      <c r="M76" s="1">
        <f t="shared" si="5"/>
        <v>1801.5</v>
      </c>
      <c r="N76" s="1">
        <f t="shared" si="7"/>
        <v>34228.5</v>
      </c>
      <c r="O76" s="1" t="str">
        <f t="shared" si="8"/>
        <v>January</v>
      </c>
      <c r="P76" s="1">
        <f t="shared" si="9"/>
        <v>2026</v>
      </c>
    </row>
    <row r="77" spans="1:16">
      <c r="A77" s="1">
        <v>1084</v>
      </c>
      <c r="B77" s="2">
        <v>46033</v>
      </c>
      <c r="C77" s="1" t="s">
        <v>42</v>
      </c>
      <c r="D77" s="1" t="s">
        <v>17</v>
      </c>
      <c r="E77" s="1" t="s">
        <v>35</v>
      </c>
      <c r="F77" s="1" t="s">
        <v>19</v>
      </c>
      <c r="G77" s="1">
        <v>1</v>
      </c>
      <c r="H77" s="1">
        <v>9493</v>
      </c>
      <c r="I77" s="5">
        <v>10</v>
      </c>
      <c r="J77" s="1" t="s">
        <v>20</v>
      </c>
      <c r="K77" s="1" t="s">
        <v>29</v>
      </c>
      <c r="L77" s="1">
        <f t="shared" si="6"/>
        <v>9493</v>
      </c>
      <c r="M77" s="1">
        <f t="shared" si="5"/>
        <v>949.30000000000007</v>
      </c>
      <c r="N77" s="1">
        <f t="shared" si="7"/>
        <v>8543.7000000000007</v>
      </c>
      <c r="O77" s="1" t="str">
        <f t="shared" si="8"/>
        <v>January</v>
      </c>
      <c r="P77" s="1">
        <f t="shared" si="9"/>
        <v>2026</v>
      </c>
    </row>
    <row r="78" spans="1:16">
      <c r="A78" s="1">
        <v>1085</v>
      </c>
      <c r="B78" s="2">
        <v>46083</v>
      </c>
      <c r="C78" s="1" t="s">
        <v>40</v>
      </c>
      <c r="D78" s="1" t="s">
        <v>31</v>
      </c>
      <c r="E78" s="1" t="s">
        <v>35</v>
      </c>
      <c r="F78" s="1" t="s">
        <v>19</v>
      </c>
      <c r="G78" s="1">
        <v>10</v>
      </c>
      <c r="H78" s="1">
        <v>8771</v>
      </c>
      <c r="I78" s="5">
        <v>15</v>
      </c>
      <c r="J78" s="1" t="s">
        <v>24</v>
      </c>
      <c r="K78" s="1" t="s">
        <v>29</v>
      </c>
      <c r="L78" s="1">
        <f t="shared" si="6"/>
        <v>87710</v>
      </c>
      <c r="M78" s="1">
        <f t="shared" si="5"/>
        <v>13156.5</v>
      </c>
      <c r="N78" s="1">
        <f t="shared" si="7"/>
        <v>74553.5</v>
      </c>
      <c r="O78" s="1" t="str">
        <f t="shared" si="8"/>
        <v>March</v>
      </c>
      <c r="P78" s="1">
        <f t="shared" si="9"/>
        <v>2026</v>
      </c>
    </row>
    <row r="79" spans="1:16">
      <c r="A79" s="1">
        <v>1086</v>
      </c>
      <c r="B79" s="2">
        <v>46053</v>
      </c>
      <c r="C79" s="1" t="s">
        <v>30</v>
      </c>
      <c r="D79" s="1" t="s">
        <v>37</v>
      </c>
      <c r="E79" s="1" t="s">
        <v>38</v>
      </c>
      <c r="F79" s="1" t="s">
        <v>28</v>
      </c>
      <c r="G79" s="1">
        <v>10</v>
      </c>
      <c r="H79" s="1">
        <v>3269</v>
      </c>
      <c r="I79" s="5">
        <v>15</v>
      </c>
      <c r="J79" s="1" t="s">
        <v>24</v>
      </c>
      <c r="K79" s="1" t="s">
        <v>29</v>
      </c>
      <c r="L79" s="1">
        <f t="shared" si="6"/>
        <v>32690</v>
      </c>
      <c r="M79" s="1">
        <f t="shared" si="5"/>
        <v>4903.5</v>
      </c>
      <c r="N79" s="1">
        <f t="shared" si="7"/>
        <v>27786.5</v>
      </c>
      <c r="O79" s="1" t="str">
        <f t="shared" si="8"/>
        <v>January</v>
      </c>
      <c r="P79" s="1">
        <f t="shared" si="9"/>
        <v>2026</v>
      </c>
    </row>
    <row r="80" spans="1:16">
      <c r="A80" s="1">
        <v>1087</v>
      </c>
      <c r="B80" s="2">
        <v>46042</v>
      </c>
      <c r="C80" s="1" t="s">
        <v>42</v>
      </c>
      <c r="D80" s="1" t="s">
        <v>37</v>
      </c>
      <c r="E80" s="1" t="s">
        <v>32</v>
      </c>
      <c r="F80" s="1" t="s">
        <v>28</v>
      </c>
      <c r="G80" s="1">
        <v>1</v>
      </c>
      <c r="H80" s="1">
        <v>1430</v>
      </c>
      <c r="I80" s="5">
        <v>10</v>
      </c>
      <c r="J80" s="1" t="s">
        <v>24</v>
      </c>
      <c r="K80" s="1" t="s">
        <v>29</v>
      </c>
      <c r="L80" s="1">
        <f t="shared" si="6"/>
        <v>1430</v>
      </c>
      <c r="M80" s="1">
        <f t="shared" si="5"/>
        <v>143</v>
      </c>
      <c r="N80" s="1">
        <f t="shared" si="7"/>
        <v>1287</v>
      </c>
      <c r="O80" s="1" t="str">
        <f t="shared" si="8"/>
        <v>January</v>
      </c>
      <c r="P80" s="1">
        <f t="shared" si="9"/>
        <v>2026</v>
      </c>
    </row>
    <row r="81" spans="1:16">
      <c r="A81" s="1">
        <v>1088</v>
      </c>
      <c r="B81" s="2">
        <v>46063</v>
      </c>
      <c r="C81" s="1" t="s">
        <v>22</v>
      </c>
      <c r="D81" s="1" t="s">
        <v>17</v>
      </c>
      <c r="E81" s="1" t="s">
        <v>18</v>
      </c>
      <c r="F81" s="1" t="s">
        <v>19</v>
      </c>
      <c r="G81" s="1">
        <v>9</v>
      </c>
      <c r="H81" s="1">
        <v>124</v>
      </c>
      <c r="I81" s="5">
        <v>10</v>
      </c>
      <c r="J81" s="1" t="s">
        <v>24</v>
      </c>
      <c r="K81" s="1" t="s">
        <v>21</v>
      </c>
      <c r="L81" s="1">
        <f t="shared" si="6"/>
        <v>1116</v>
      </c>
      <c r="M81" s="1">
        <f t="shared" si="5"/>
        <v>111.60000000000001</v>
      </c>
      <c r="N81" s="1">
        <f t="shared" si="7"/>
        <v>1004.4</v>
      </c>
      <c r="O81" s="1" t="str">
        <f t="shared" si="8"/>
        <v>February</v>
      </c>
      <c r="P81" s="1">
        <f t="shared" si="9"/>
        <v>2026</v>
      </c>
    </row>
    <row r="82" spans="1:16">
      <c r="A82" s="1">
        <v>1089</v>
      </c>
      <c r="B82" s="2">
        <v>46037</v>
      </c>
      <c r="C82" s="1" t="s">
        <v>16</v>
      </c>
      <c r="D82" s="1" t="s">
        <v>17</v>
      </c>
      <c r="E82" s="1" t="s">
        <v>38</v>
      </c>
      <c r="F82" s="1" t="s">
        <v>28</v>
      </c>
      <c r="G82" s="1">
        <v>2</v>
      </c>
      <c r="H82" s="1">
        <v>3076</v>
      </c>
      <c r="I82" s="5">
        <v>0</v>
      </c>
      <c r="J82" s="1" t="s">
        <v>20</v>
      </c>
      <c r="K82" s="1" t="s">
        <v>25</v>
      </c>
      <c r="L82" s="1">
        <f t="shared" si="6"/>
        <v>6152</v>
      </c>
      <c r="M82" s="1">
        <f t="shared" si="5"/>
        <v>0</v>
      </c>
      <c r="N82" s="1">
        <f t="shared" si="7"/>
        <v>6152</v>
      </c>
      <c r="O82" s="1" t="str">
        <f t="shared" si="8"/>
        <v>January</v>
      </c>
      <c r="P82" s="1">
        <f t="shared" si="9"/>
        <v>2026</v>
      </c>
    </row>
    <row r="83" spans="1:16">
      <c r="A83" s="1">
        <v>1090</v>
      </c>
      <c r="B83" s="2">
        <v>46083</v>
      </c>
      <c r="C83" s="1" t="s">
        <v>39</v>
      </c>
      <c r="D83" s="1" t="s">
        <v>41</v>
      </c>
      <c r="E83" s="1" t="s">
        <v>23</v>
      </c>
      <c r="F83" s="1" t="s">
        <v>19</v>
      </c>
      <c r="G83" s="1">
        <v>8</v>
      </c>
      <c r="H83" s="1">
        <v>783</v>
      </c>
      <c r="I83" s="5">
        <v>10</v>
      </c>
      <c r="J83" s="1" t="s">
        <v>24</v>
      </c>
      <c r="K83" s="1" t="s">
        <v>21</v>
      </c>
      <c r="L83" s="1">
        <f t="shared" si="6"/>
        <v>6264</v>
      </c>
      <c r="M83" s="1">
        <f t="shared" si="5"/>
        <v>626.40000000000009</v>
      </c>
      <c r="N83" s="1">
        <f t="shared" si="7"/>
        <v>5637.6</v>
      </c>
      <c r="O83" s="1" t="str">
        <f t="shared" si="8"/>
        <v>March</v>
      </c>
      <c r="P83" s="1">
        <f t="shared" si="9"/>
        <v>2026</v>
      </c>
    </row>
    <row r="84" spans="1:16">
      <c r="A84" s="1">
        <v>1091</v>
      </c>
      <c r="B84" s="2">
        <v>46085</v>
      </c>
      <c r="C84" s="1" t="s">
        <v>16</v>
      </c>
      <c r="D84" s="1" t="s">
        <v>17</v>
      </c>
      <c r="E84" s="1" t="s">
        <v>23</v>
      </c>
      <c r="F84" s="1" t="s">
        <v>19</v>
      </c>
      <c r="G84" s="1">
        <v>5</v>
      </c>
      <c r="H84" s="1">
        <v>888</v>
      </c>
      <c r="I84" s="5">
        <v>10</v>
      </c>
      <c r="J84" s="1" t="s">
        <v>20</v>
      </c>
      <c r="K84" s="1" t="s">
        <v>21</v>
      </c>
      <c r="L84" s="1">
        <f t="shared" si="6"/>
        <v>4440</v>
      </c>
      <c r="M84" s="1">
        <f t="shared" si="5"/>
        <v>444</v>
      </c>
      <c r="N84" s="1">
        <f t="shared" si="7"/>
        <v>3996</v>
      </c>
      <c r="O84" s="1" t="str">
        <f t="shared" si="8"/>
        <v>March</v>
      </c>
      <c r="P84" s="1">
        <f t="shared" si="9"/>
        <v>2026</v>
      </c>
    </row>
    <row r="85" spans="1:16">
      <c r="A85" s="1">
        <v>1092</v>
      </c>
      <c r="B85" s="2">
        <v>46067</v>
      </c>
      <c r="C85" s="1" t="s">
        <v>29</v>
      </c>
      <c r="D85" s="1" t="s">
        <v>41</v>
      </c>
      <c r="E85" s="1" t="s">
        <v>32</v>
      </c>
      <c r="F85" s="1" t="s">
        <v>28</v>
      </c>
      <c r="G85" s="1">
        <v>5</v>
      </c>
      <c r="H85" s="1">
        <v>945</v>
      </c>
      <c r="I85" s="5">
        <v>10</v>
      </c>
      <c r="J85" s="1" t="s">
        <v>20</v>
      </c>
      <c r="K85" s="1" t="s">
        <v>25</v>
      </c>
      <c r="L85" s="1">
        <f t="shared" si="6"/>
        <v>4725</v>
      </c>
      <c r="M85" s="1">
        <f t="shared" si="5"/>
        <v>472.5</v>
      </c>
      <c r="N85" s="1">
        <f t="shared" si="7"/>
        <v>4252.5</v>
      </c>
      <c r="O85" s="1" t="str">
        <f t="shared" si="8"/>
        <v>February</v>
      </c>
      <c r="P85" s="1">
        <f t="shared" si="9"/>
        <v>2026</v>
      </c>
    </row>
    <row r="86" spans="1:16">
      <c r="A86" s="1">
        <v>1093</v>
      </c>
      <c r="B86" s="2">
        <v>46082</v>
      </c>
      <c r="C86" s="1" t="s">
        <v>40</v>
      </c>
      <c r="D86" s="1" t="s">
        <v>31</v>
      </c>
      <c r="E86" s="1" t="s">
        <v>18</v>
      </c>
      <c r="F86" s="1" t="s">
        <v>19</v>
      </c>
      <c r="G86" s="1">
        <v>6</v>
      </c>
      <c r="H86" s="1">
        <v>776</v>
      </c>
      <c r="I86" s="5">
        <v>15</v>
      </c>
      <c r="J86" s="1" t="s">
        <v>20</v>
      </c>
      <c r="K86" s="1" t="s">
        <v>25</v>
      </c>
      <c r="L86" s="1">
        <f t="shared" si="6"/>
        <v>4656</v>
      </c>
      <c r="M86" s="1">
        <f t="shared" si="5"/>
        <v>698.4</v>
      </c>
      <c r="N86" s="1">
        <f t="shared" si="7"/>
        <v>3957.6</v>
      </c>
      <c r="O86" s="1" t="str">
        <f t="shared" si="8"/>
        <v>March</v>
      </c>
      <c r="P86" s="1">
        <f t="shared" si="9"/>
        <v>2026</v>
      </c>
    </row>
    <row r="87" spans="1:16">
      <c r="A87" s="1">
        <v>1094</v>
      </c>
      <c r="B87" s="2">
        <v>46073</v>
      </c>
      <c r="C87" s="1" t="s">
        <v>33</v>
      </c>
      <c r="D87" s="1" t="s">
        <v>37</v>
      </c>
      <c r="E87" s="1" t="s">
        <v>35</v>
      </c>
      <c r="F87" s="1" t="s">
        <v>19</v>
      </c>
      <c r="G87" s="1">
        <v>8</v>
      </c>
      <c r="H87" s="1">
        <v>8578</v>
      </c>
      <c r="I87" s="5">
        <v>5</v>
      </c>
      <c r="J87" s="1" t="s">
        <v>24</v>
      </c>
      <c r="K87" s="1" t="s">
        <v>21</v>
      </c>
      <c r="L87" s="1">
        <f t="shared" si="6"/>
        <v>68624</v>
      </c>
      <c r="M87" s="1">
        <f t="shared" si="5"/>
        <v>3431.2000000000003</v>
      </c>
      <c r="N87" s="1">
        <f t="shared" si="7"/>
        <v>65192.800000000003</v>
      </c>
      <c r="O87" s="1" t="str">
        <f t="shared" si="8"/>
        <v>February</v>
      </c>
      <c r="P87" s="1">
        <f t="shared" si="9"/>
        <v>2026</v>
      </c>
    </row>
    <row r="88" spans="1:16">
      <c r="A88" s="1">
        <v>1095</v>
      </c>
      <c r="B88" s="2">
        <v>46038</v>
      </c>
      <c r="C88" s="1" t="s">
        <v>30</v>
      </c>
      <c r="D88" s="1" t="s">
        <v>31</v>
      </c>
      <c r="E88" s="1" t="s">
        <v>18</v>
      </c>
      <c r="F88" s="1" t="s">
        <v>19</v>
      </c>
      <c r="G88" s="1">
        <v>8</v>
      </c>
      <c r="H88" s="1">
        <v>813</v>
      </c>
      <c r="I88" s="5">
        <v>5</v>
      </c>
      <c r="J88" s="1" t="s">
        <v>24</v>
      </c>
      <c r="K88" s="1" t="s">
        <v>21</v>
      </c>
      <c r="L88" s="1">
        <f t="shared" si="6"/>
        <v>6504</v>
      </c>
      <c r="M88" s="1">
        <f t="shared" si="5"/>
        <v>325.20000000000005</v>
      </c>
      <c r="N88" s="1">
        <f t="shared" si="7"/>
        <v>6178.8</v>
      </c>
      <c r="O88" s="1" t="str">
        <f t="shared" si="8"/>
        <v>January</v>
      </c>
      <c r="P88" s="1">
        <f t="shared" si="9"/>
        <v>2026</v>
      </c>
    </row>
    <row r="89" spans="1:16">
      <c r="A89" s="1">
        <v>1096</v>
      </c>
      <c r="B89" s="2">
        <v>46083</v>
      </c>
      <c r="C89" s="1" t="s">
        <v>39</v>
      </c>
      <c r="D89" s="1" t="s">
        <v>17</v>
      </c>
      <c r="E89" s="1" t="s">
        <v>35</v>
      </c>
      <c r="F89" s="1" t="s">
        <v>19</v>
      </c>
      <c r="G89" s="1">
        <v>6</v>
      </c>
      <c r="H89" s="1">
        <v>8862</v>
      </c>
      <c r="I89" s="5">
        <v>15</v>
      </c>
      <c r="J89" s="1" t="s">
        <v>24</v>
      </c>
      <c r="K89" s="1" t="s">
        <v>29</v>
      </c>
      <c r="L89" s="1">
        <f t="shared" si="6"/>
        <v>53172</v>
      </c>
      <c r="M89" s="1">
        <f t="shared" si="5"/>
        <v>7975.7999999999993</v>
      </c>
      <c r="N89" s="1">
        <f t="shared" si="7"/>
        <v>45196.2</v>
      </c>
      <c r="O89" s="1" t="str">
        <f t="shared" si="8"/>
        <v>March</v>
      </c>
      <c r="P89" s="1">
        <f t="shared" si="9"/>
        <v>2026</v>
      </c>
    </row>
    <row r="90" spans="1:16">
      <c r="A90" s="1">
        <v>1097</v>
      </c>
      <c r="B90" s="2">
        <v>46108</v>
      </c>
      <c r="C90" s="1" t="s">
        <v>29</v>
      </c>
      <c r="D90" s="1" t="s">
        <v>17</v>
      </c>
      <c r="E90" s="1" t="s">
        <v>27</v>
      </c>
      <c r="F90" s="1" t="s">
        <v>28</v>
      </c>
      <c r="G90" s="1">
        <v>6</v>
      </c>
      <c r="H90" s="1">
        <v>9981</v>
      </c>
      <c r="I90" s="5">
        <v>0</v>
      </c>
      <c r="J90" s="1" t="s">
        <v>24</v>
      </c>
      <c r="K90" s="1" t="s">
        <v>29</v>
      </c>
      <c r="L90" s="1">
        <f t="shared" si="6"/>
        <v>59886</v>
      </c>
      <c r="M90" s="1">
        <f t="shared" si="5"/>
        <v>0</v>
      </c>
      <c r="N90" s="1">
        <f t="shared" si="7"/>
        <v>59886</v>
      </c>
      <c r="O90" s="1" t="str">
        <f t="shared" si="8"/>
        <v>March</v>
      </c>
      <c r="P90" s="1">
        <f t="shared" si="9"/>
        <v>2026</v>
      </c>
    </row>
    <row r="91" spans="1:16">
      <c r="A91" s="1">
        <v>1098</v>
      </c>
      <c r="B91" s="2">
        <v>46105</v>
      </c>
      <c r="C91" s="1" t="s">
        <v>29</v>
      </c>
      <c r="D91" s="1" t="s">
        <v>41</v>
      </c>
      <c r="E91" s="1" t="s">
        <v>27</v>
      </c>
      <c r="F91" s="1" t="s">
        <v>28</v>
      </c>
      <c r="G91" s="1">
        <v>2</v>
      </c>
      <c r="H91" s="1">
        <v>10417</v>
      </c>
      <c r="I91" s="5">
        <v>5</v>
      </c>
      <c r="J91" s="1" t="s">
        <v>20</v>
      </c>
      <c r="K91" s="1" t="s">
        <v>21</v>
      </c>
      <c r="L91" s="1">
        <f t="shared" si="6"/>
        <v>20834</v>
      </c>
      <c r="M91" s="1">
        <f t="shared" si="5"/>
        <v>1041.7</v>
      </c>
      <c r="N91" s="1">
        <f t="shared" si="7"/>
        <v>19792.3</v>
      </c>
      <c r="O91" s="1" t="str">
        <f t="shared" si="8"/>
        <v>March</v>
      </c>
      <c r="P91" s="1">
        <f t="shared" si="9"/>
        <v>2026</v>
      </c>
    </row>
    <row r="92" spans="1:16">
      <c r="A92" s="1">
        <v>1099</v>
      </c>
      <c r="B92" s="2">
        <v>46060</v>
      </c>
      <c r="C92" s="1" t="s">
        <v>36</v>
      </c>
      <c r="D92" s="1" t="s">
        <v>41</v>
      </c>
      <c r="E92" s="1" t="s">
        <v>34</v>
      </c>
      <c r="F92" s="1" t="s">
        <v>19</v>
      </c>
      <c r="G92" s="1">
        <v>1</v>
      </c>
      <c r="H92" s="1">
        <v>14935</v>
      </c>
      <c r="I92" s="5">
        <v>15</v>
      </c>
      <c r="J92" s="1" t="s">
        <v>24</v>
      </c>
      <c r="K92" s="1" t="s">
        <v>25</v>
      </c>
      <c r="L92" s="1">
        <f t="shared" si="6"/>
        <v>14935</v>
      </c>
      <c r="M92" s="1">
        <f t="shared" si="5"/>
        <v>2240.25</v>
      </c>
      <c r="N92" s="1">
        <f t="shared" si="7"/>
        <v>12694.75</v>
      </c>
      <c r="O92" s="1" t="str">
        <f t="shared" si="8"/>
        <v>February</v>
      </c>
      <c r="P92" s="1">
        <f t="shared" si="9"/>
        <v>2026</v>
      </c>
    </row>
    <row r="93" spans="1:16">
      <c r="A93" s="1">
        <v>1100</v>
      </c>
      <c r="B93" s="2">
        <v>46095</v>
      </c>
      <c r="C93" s="1" t="s">
        <v>39</v>
      </c>
      <c r="D93" s="1" t="s">
        <v>17</v>
      </c>
      <c r="E93" s="1" t="s">
        <v>38</v>
      </c>
      <c r="F93" s="1" t="s">
        <v>28</v>
      </c>
      <c r="G93" s="1">
        <v>9</v>
      </c>
      <c r="H93" s="1">
        <v>3717</v>
      </c>
      <c r="I93" s="5">
        <v>10</v>
      </c>
      <c r="J93" s="1" t="s">
        <v>24</v>
      </c>
      <c r="K93" s="1" t="s">
        <v>21</v>
      </c>
      <c r="L93" s="1">
        <f t="shared" si="6"/>
        <v>33453</v>
      </c>
      <c r="M93" s="1">
        <f t="shared" si="5"/>
        <v>3345.3</v>
      </c>
      <c r="N93" s="1">
        <f t="shared" si="7"/>
        <v>30107.7</v>
      </c>
      <c r="O93" s="1" t="str">
        <f t="shared" si="8"/>
        <v>March</v>
      </c>
      <c r="P93" s="1">
        <f t="shared" si="9"/>
        <v>2026</v>
      </c>
    </row>
    <row r="94" spans="1:16">
      <c r="A94" s="1">
        <v>1101</v>
      </c>
      <c r="B94" s="2">
        <v>46082</v>
      </c>
      <c r="C94" s="1" t="s">
        <v>39</v>
      </c>
      <c r="D94" s="1" t="s">
        <v>31</v>
      </c>
      <c r="E94" s="1" t="s">
        <v>27</v>
      </c>
      <c r="F94" s="1" t="s">
        <v>28</v>
      </c>
      <c r="G94" s="1">
        <v>9</v>
      </c>
      <c r="H94" s="1">
        <v>10416</v>
      </c>
      <c r="I94" s="5">
        <v>10</v>
      </c>
      <c r="J94" s="1" t="s">
        <v>24</v>
      </c>
      <c r="K94" s="1" t="s">
        <v>21</v>
      </c>
      <c r="L94" s="1">
        <f t="shared" si="6"/>
        <v>93744</v>
      </c>
      <c r="M94" s="1">
        <f t="shared" si="5"/>
        <v>9374.4</v>
      </c>
      <c r="N94" s="1">
        <f t="shared" si="7"/>
        <v>84369.600000000006</v>
      </c>
      <c r="O94" s="1" t="str">
        <f t="shared" si="8"/>
        <v>March</v>
      </c>
      <c r="P94" s="1">
        <f t="shared" si="9"/>
        <v>2026</v>
      </c>
    </row>
    <row r="95" spans="1:16">
      <c r="A95" s="1">
        <v>1102</v>
      </c>
      <c r="B95" s="2">
        <v>46107</v>
      </c>
      <c r="C95" s="1" t="s">
        <v>39</v>
      </c>
      <c r="D95" s="1" t="s">
        <v>31</v>
      </c>
      <c r="E95" s="1" t="s">
        <v>34</v>
      </c>
      <c r="F95" s="1" t="s">
        <v>19</v>
      </c>
      <c r="G95" s="1">
        <v>9</v>
      </c>
      <c r="H95" s="1">
        <v>14744</v>
      </c>
      <c r="I95" s="5">
        <v>15</v>
      </c>
      <c r="J95" s="1" t="s">
        <v>20</v>
      </c>
      <c r="K95" s="1" t="s">
        <v>29</v>
      </c>
      <c r="L95" s="1">
        <f t="shared" si="6"/>
        <v>132696</v>
      </c>
      <c r="M95" s="1">
        <f t="shared" si="5"/>
        <v>19904.399999999998</v>
      </c>
      <c r="N95" s="1">
        <f t="shared" si="7"/>
        <v>112791.6</v>
      </c>
      <c r="O95" s="1" t="str">
        <f t="shared" si="8"/>
        <v>March</v>
      </c>
      <c r="P95" s="1">
        <f t="shared" si="9"/>
        <v>2026</v>
      </c>
    </row>
    <row r="96" spans="1:16">
      <c r="A96" s="1">
        <v>1103</v>
      </c>
      <c r="B96" s="2">
        <v>46035</v>
      </c>
      <c r="C96" s="1" t="s">
        <v>43</v>
      </c>
      <c r="D96" s="1" t="s">
        <v>31</v>
      </c>
      <c r="E96" s="1" t="s">
        <v>35</v>
      </c>
      <c r="F96" s="1" t="s">
        <v>19</v>
      </c>
      <c r="G96" s="1">
        <v>10</v>
      </c>
      <c r="H96" s="1">
        <v>8686</v>
      </c>
      <c r="I96" s="5">
        <v>0</v>
      </c>
      <c r="J96" s="1" t="s">
        <v>20</v>
      </c>
      <c r="K96" s="1" t="s">
        <v>29</v>
      </c>
      <c r="L96" s="1">
        <f t="shared" si="6"/>
        <v>86860</v>
      </c>
      <c r="M96" s="1">
        <f t="shared" si="5"/>
        <v>0</v>
      </c>
      <c r="N96" s="1">
        <f t="shared" si="7"/>
        <v>86860</v>
      </c>
      <c r="O96" s="1" t="str">
        <f t="shared" si="8"/>
        <v>January</v>
      </c>
      <c r="P96" s="1">
        <f t="shared" si="9"/>
        <v>2026</v>
      </c>
    </row>
    <row r="97" spans="1:16">
      <c r="A97" s="1">
        <v>1104</v>
      </c>
      <c r="B97" s="2">
        <v>46025</v>
      </c>
      <c r="C97" s="1" t="s">
        <v>30</v>
      </c>
      <c r="D97" s="1" t="s">
        <v>17</v>
      </c>
      <c r="E97" s="1" t="s">
        <v>35</v>
      </c>
      <c r="F97" s="1" t="s">
        <v>19</v>
      </c>
      <c r="G97" s="1">
        <v>9</v>
      </c>
      <c r="H97" s="1">
        <v>8818</v>
      </c>
      <c r="I97" s="5">
        <v>10</v>
      </c>
      <c r="J97" s="1" t="s">
        <v>20</v>
      </c>
      <c r="K97" s="1" t="s">
        <v>21</v>
      </c>
      <c r="L97" s="1">
        <f t="shared" si="6"/>
        <v>79362</v>
      </c>
      <c r="M97" s="1">
        <f t="shared" si="5"/>
        <v>7936.2000000000007</v>
      </c>
      <c r="N97" s="1">
        <f t="shared" si="7"/>
        <v>71425.8</v>
      </c>
      <c r="O97" s="1" t="str">
        <f t="shared" si="8"/>
        <v>January</v>
      </c>
      <c r="P97" s="1">
        <f t="shared" si="9"/>
        <v>2026</v>
      </c>
    </row>
    <row r="98" spans="1:16">
      <c r="A98" s="1">
        <v>1105</v>
      </c>
      <c r="B98" s="2">
        <v>46074</v>
      </c>
      <c r="C98" s="1" t="s">
        <v>39</v>
      </c>
      <c r="D98" s="1" t="s">
        <v>31</v>
      </c>
      <c r="E98" s="1" t="s">
        <v>27</v>
      </c>
      <c r="F98" s="1" t="s">
        <v>28</v>
      </c>
      <c r="G98" s="1">
        <v>6</v>
      </c>
      <c r="H98" s="1">
        <v>9713</v>
      </c>
      <c r="I98" s="5">
        <v>0</v>
      </c>
      <c r="J98" s="1" t="s">
        <v>24</v>
      </c>
      <c r="K98" s="1" t="s">
        <v>29</v>
      </c>
      <c r="L98" s="1">
        <f t="shared" si="6"/>
        <v>58278</v>
      </c>
      <c r="M98" s="1">
        <f t="shared" si="5"/>
        <v>0</v>
      </c>
      <c r="N98" s="1">
        <f t="shared" si="7"/>
        <v>58278</v>
      </c>
      <c r="O98" s="1" t="str">
        <f t="shared" si="8"/>
        <v>February</v>
      </c>
      <c r="P98" s="1">
        <f t="shared" si="9"/>
        <v>2026</v>
      </c>
    </row>
    <row r="99" spans="1:16">
      <c r="A99" s="1">
        <v>1106</v>
      </c>
      <c r="B99" s="2">
        <v>46081</v>
      </c>
      <c r="C99" s="1" t="s">
        <v>29</v>
      </c>
      <c r="D99" s="1" t="s">
        <v>17</v>
      </c>
      <c r="E99" s="1" t="s">
        <v>18</v>
      </c>
      <c r="F99" s="1" t="s">
        <v>19</v>
      </c>
      <c r="G99" s="1">
        <v>8</v>
      </c>
      <c r="H99" s="1">
        <v>549</v>
      </c>
      <c r="I99" s="5">
        <v>5</v>
      </c>
      <c r="J99" s="1" t="s">
        <v>20</v>
      </c>
      <c r="K99" s="1" t="s">
        <v>21</v>
      </c>
      <c r="L99" s="1">
        <f t="shared" si="6"/>
        <v>4392</v>
      </c>
      <c r="M99" s="1">
        <f t="shared" si="5"/>
        <v>219.60000000000002</v>
      </c>
      <c r="N99" s="1">
        <f t="shared" si="7"/>
        <v>4172.3999999999996</v>
      </c>
      <c r="O99" s="1" t="str">
        <f t="shared" si="8"/>
        <v>February</v>
      </c>
      <c r="P99" s="1">
        <f t="shared" si="9"/>
        <v>2026</v>
      </c>
    </row>
    <row r="100" spans="1:16">
      <c r="A100" s="1">
        <v>1107</v>
      </c>
      <c r="B100" s="2">
        <v>46058</v>
      </c>
      <c r="C100" s="1" t="s">
        <v>36</v>
      </c>
      <c r="D100" s="1" t="s">
        <v>31</v>
      </c>
      <c r="E100" s="1" t="s">
        <v>34</v>
      </c>
      <c r="F100" s="1" t="s">
        <v>19</v>
      </c>
      <c r="G100" s="1">
        <v>4</v>
      </c>
      <c r="H100" s="1">
        <v>14728</v>
      </c>
      <c r="I100" s="5">
        <v>0</v>
      </c>
      <c r="J100" s="1" t="s">
        <v>20</v>
      </c>
      <c r="K100" s="1" t="s">
        <v>25</v>
      </c>
      <c r="L100" s="1">
        <f t="shared" si="6"/>
        <v>58912</v>
      </c>
      <c r="M100" s="1">
        <f t="shared" si="5"/>
        <v>0</v>
      </c>
      <c r="N100" s="1">
        <f t="shared" si="7"/>
        <v>58912</v>
      </c>
      <c r="O100" s="1" t="str">
        <f t="shared" si="8"/>
        <v>February</v>
      </c>
      <c r="P100" s="1">
        <f t="shared" si="9"/>
        <v>2026</v>
      </c>
    </row>
    <row r="101" spans="1:16">
      <c r="A101" s="1">
        <v>1108</v>
      </c>
      <c r="B101" s="2">
        <v>46092</v>
      </c>
      <c r="C101" s="1" t="s">
        <v>33</v>
      </c>
      <c r="D101" s="1" t="s">
        <v>41</v>
      </c>
      <c r="E101" s="1" t="s">
        <v>44</v>
      </c>
      <c r="F101" s="1" t="s">
        <v>19</v>
      </c>
      <c r="G101" s="1">
        <v>3</v>
      </c>
      <c r="H101" s="1">
        <v>6562</v>
      </c>
      <c r="I101" s="5">
        <v>0</v>
      </c>
      <c r="J101" s="1" t="s">
        <v>20</v>
      </c>
      <c r="K101" s="1" t="s">
        <v>21</v>
      </c>
      <c r="L101" s="1">
        <f t="shared" si="6"/>
        <v>19686</v>
      </c>
      <c r="M101" s="1">
        <f t="shared" si="5"/>
        <v>0</v>
      </c>
      <c r="N101" s="1">
        <f t="shared" si="7"/>
        <v>19686</v>
      </c>
      <c r="O101" s="1" t="str">
        <f t="shared" si="8"/>
        <v>March</v>
      </c>
      <c r="P101" s="1">
        <f t="shared" si="9"/>
        <v>2026</v>
      </c>
    </row>
    <row r="102" spans="1:16">
      <c r="A102" s="1">
        <v>1109</v>
      </c>
      <c r="B102" s="2">
        <v>46102</v>
      </c>
      <c r="C102" s="1" t="s">
        <v>21</v>
      </c>
      <c r="D102" s="1" t="s">
        <v>31</v>
      </c>
      <c r="E102" s="1" t="s">
        <v>38</v>
      </c>
      <c r="F102" s="1" t="s">
        <v>28</v>
      </c>
      <c r="G102" s="1">
        <v>10</v>
      </c>
      <c r="H102" s="1">
        <v>3749</v>
      </c>
      <c r="I102" s="5">
        <v>10</v>
      </c>
      <c r="J102" s="1" t="s">
        <v>24</v>
      </c>
      <c r="K102" s="1" t="s">
        <v>25</v>
      </c>
      <c r="L102" s="1">
        <f t="shared" si="6"/>
        <v>37490</v>
      </c>
      <c r="M102" s="1">
        <f t="shared" si="5"/>
        <v>3749</v>
      </c>
      <c r="N102" s="1">
        <f t="shared" si="7"/>
        <v>33741</v>
      </c>
      <c r="O102" s="1" t="str">
        <f t="shared" si="8"/>
        <v>March</v>
      </c>
      <c r="P102" s="1">
        <f t="shared" si="9"/>
        <v>2026</v>
      </c>
    </row>
    <row r="103" spans="1:16">
      <c r="A103" s="1">
        <v>1110</v>
      </c>
      <c r="B103" s="2">
        <v>46099</v>
      </c>
      <c r="C103" s="1" t="s">
        <v>42</v>
      </c>
      <c r="D103" s="1" t="s">
        <v>17</v>
      </c>
      <c r="E103" s="1" t="s">
        <v>35</v>
      </c>
      <c r="F103" s="1" t="s">
        <v>19</v>
      </c>
      <c r="G103" s="1">
        <v>6</v>
      </c>
      <c r="H103" s="1">
        <v>8587</v>
      </c>
      <c r="I103" s="5">
        <v>15</v>
      </c>
      <c r="J103" s="1" t="s">
        <v>20</v>
      </c>
      <c r="K103" s="1" t="s">
        <v>25</v>
      </c>
      <c r="L103" s="1">
        <f t="shared" si="6"/>
        <v>51522</v>
      </c>
      <c r="M103" s="1">
        <f t="shared" si="5"/>
        <v>7728.2999999999993</v>
      </c>
      <c r="N103" s="1">
        <f t="shared" si="7"/>
        <v>43793.7</v>
      </c>
      <c r="O103" s="1" t="str">
        <f t="shared" si="8"/>
        <v>March</v>
      </c>
      <c r="P103" s="1">
        <f t="shared" si="9"/>
        <v>2026</v>
      </c>
    </row>
    <row r="104" spans="1:16">
      <c r="A104" s="1">
        <v>1111</v>
      </c>
      <c r="B104" s="2">
        <v>46050</v>
      </c>
      <c r="C104" s="1" t="s">
        <v>30</v>
      </c>
      <c r="D104" s="1" t="s">
        <v>37</v>
      </c>
      <c r="E104" s="1" t="s">
        <v>27</v>
      </c>
      <c r="F104" s="1" t="s">
        <v>28</v>
      </c>
      <c r="G104" s="1">
        <v>2</v>
      </c>
      <c r="H104" s="1">
        <v>10276</v>
      </c>
      <c r="I104" s="5">
        <v>0</v>
      </c>
      <c r="J104" s="1" t="s">
        <v>20</v>
      </c>
      <c r="K104" s="1" t="s">
        <v>21</v>
      </c>
      <c r="L104" s="1">
        <f t="shared" si="6"/>
        <v>20552</v>
      </c>
      <c r="M104" s="1">
        <f t="shared" si="5"/>
        <v>0</v>
      </c>
      <c r="N104" s="1">
        <f t="shared" si="7"/>
        <v>20552</v>
      </c>
      <c r="O104" s="1" t="str">
        <f t="shared" si="8"/>
        <v>January</v>
      </c>
      <c r="P104" s="1">
        <f t="shared" si="9"/>
        <v>2026</v>
      </c>
    </row>
    <row r="105" spans="1:16">
      <c r="A105" s="1">
        <v>1114</v>
      </c>
      <c r="B105" s="2">
        <v>46075</v>
      </c>
      <c r="C105" s="1" t="s">
        <v>29</v>
      </c>
      <c r="D105" s="1" t="s">
        <v>37</v>
      </c>
      <c r="E105" s="1" t="s">
        <v>35</v>
      </c>
      <c r="F105" s="1" t="s">
        <v>19</v>
      </c>
      <c r="G105" s="1">
        <v>4</v>
      </c>
      <c r="H105" s="1">
        <v>8916</v>
      </c>
      <c r="I105" s="5">
        <v>10</v>
      </c>
      <c r="J105" s="1" t="s">
        <v>24</v>
      </c>
      <c r="K105" s="1" t="s">
        <v>29</v>
      </c>
      <c r="L105" s="1">
        <f t="shared" si="6"/>
        <v>35664</v>
      </c>
      <c r="M105" s="1">
        <f t="shared" si="5"/>
        <v>3566.4</v>
      </c>
      <c r="N105" s="1">
        <f t="shared" si="7"/>
        <v>32097.599999999999</v>
      </c>
      <c r="O105" s="1" t="str">
        <f t="shared" si="8"/>
        <v>February</v>
      </c>
      <c r="P105" s="1">
        <f t="shared" si="9"/>
        <v>2026</v>
      </c>
    </row>
    <row r="106" spans="1:16">
      <c r="A106" s="1">
        <v>1115</v>
      </c>
      <c r="B106" s="2">
        <v>46096</v>
      </c>
      <c r="C106" s="1" t="s">
        <v>39</v>
      </c>
      <c r="D106" s="1" t="s">
        <v>37</v>
      </c>
      <c r="E106" s="1" t="s">
        <v>18</v>
      </c>
      <c r="F106" s="1" t="s">
        <v>19</v>
      </c>
      <c r="G106" s="1">
        <v>3</v>
      </c>
      <c r="H106" s="1">
        <v>538</v>
      </c>
      <c r="I106" s="5">
        <v>0</v>
      </c>
      <c r="J106" s="1" t="s">
        <v>20</v>
      </c>
      <c r="K106" s="1" t="s">
        <v>21</v>
      </c>
      <c r="L106" s="1">
        <f t="shared" si="6"/>
        <v>1614</v>
      </c>
      <c r="M106" s="1">
        <f t="shared" si="5"/>
        <v>0</v>
      </c>
      <c r="N106" s="1">
        <f t="shared" si="7"/>
        <v>1614</v>
      </c>
      <c r="O106" s="1" t="str">
        <f t="shared" si="8"/>
        <v>March</v>
      </c>
      <c r="P106" s="1">
        <f t="shared" si="9"/>
        <v>2026</v>
      </c>
    </row>
    <row r="107" spans="1:16">
      <c r="A107" s="1">
        <v>1116</v>
      </c>
      <c r="B107" s="2">
        <v>46080</v>
      </c>
      <c r="C107" s="1" t="s">
        <v>29</v>
      </c>
      <c r="D107" s="1" t="s">
        <v>17</v>
      </c>
      <c r="E107" s="1" t="s">
        <v>23</v>
      </c>
      <c r="F107" s="1" t="s">
        <v>19</v>
      </c>
      <c r="G107" s="1">
        <v>4</v>
      </c>
      <c r="H107" s="1">
        <v>437</v>
      </c>
      <c r="I107" s="5">
        <v>10</v>
      </c>
      <c r="J107" s="1" t="s">
        <v>24</v>
      </c>
      <c r="K107" s="1" t="s">
        <v>21</v>
      </c>
      <c r="L107" s="1">
        <f t="shared" si="6"/>
        <v>1748</v>
      </c>
      <c r="M107" s="1">
        <f t="shared" si="5"/>
        <v>174.8</v>
      </c>
      <c r="N107" s="1">
        <f t="shared" si="7"/>
        <v>1573.2</v>
      </c>
      <c r="O107" s="1" t="str">
        <f t="shared" si="8"/>
        <v>February</v>
      </c>
      <c r="P107" s="1">
        <f t="shared" si="9"/>
        <v>2026</v>
      </c>
    </row>
    <row r="108" spans="1:16">
      <c r="A108" s="1">
        <v>1117</v>
      </c>
      <c r="B108" s="2">
        <v>46029</v>
      </c>
      <c r="C108" s="1" t="s">
        <v>40</v>
      </c>
      <c r="D108" s="1" t="s">
        <v>37</v>
      </c>
      <c r="E108" s="1" t="s">
        <v>23</v>
      </c>
      <c r="F108" s="1" t="s">
        <v>19</v>
      </c>
      <c r="G108" s="1">
        <v>5</v>
      </c>
      <c r="H108" s="1">
        <v>858</v>
      </c>
      <c r="I108" s="5">
        <v>10</v>
      </c>
      <c r="J108" s="1" t="s">
        <v>24</v>
      </c>
      <c r="K108" s="1" t="s">
        <v>25</v>
      </c>
      <c r="L108" s="1">
        <f t="shared" si="6"/>
        <v>4290</v>
      </c>
      <c r="M108" s="1">
        <f t="shared" si="5"/>
        <v>429</v>
      </c>
      <c r="N108" s="1">
        <f t="shared" si="7"/>
        <v>3861</v>
      </c>
      <c r="O108" s="1" t="str">
        <f t="shared" si="8"/>
        <v>January</v>
      </c>
      <c r="P108" s="1">
        <f t="shared" si="9"/>
        <v>2026</v>
      </c>
    </row>
    <row r="109" spans="1:16">
      <c r="A109" s="1">
        <v>1118</v>
      </c>
      <c r="B109" s="2">
        <v>46043</v>
      </c>
      <c r="C109" s="1" t="s">
        <v>22</v>
      </c>
      <c r="D109" s="1" t="s">
        <v>37</v>
      </c>
      <c r="E109" s="1" t="s">
        <v>38</v>
      </c>
      <c r="F109" s="1" t="s">
        <v>28</v>
      </c>
      <c r="G109" s="1">
        <v>1</v>
      </c>
      <c r="H109" s="1">
        <v>3237</v>
      </c>
      <c r="I109" s="5">
        <v>0</v>
      </c>
      <c r="J109" s="1" t="s">
        <v>20</v>
      </c>
      <c r="K109" s="1" t="s">
        <v>29</v>
      </c>
      <c r="L109" s="1">
        <f t="shared" si="6"/>
        <v>3237</v>
      </c>
      <c r="M109" s="1">
        <f t="shared" si="5"/>
        <v>0</v>
      </c>
      <c r="N109" s="1">
        <f t="shared" si="7"/>
        <v>3237</v>
      </c>
      <c r="O109" s="1" t="str">
        <f t="shared" si="8"/>
        <v>January</v>
      </c>
      <c r="P109" s="1">
        <f t="shared" si="9"/>
        <v>2026</v>
      </c>
    </row>
    <row r="110" spans="1:16">
      <c r="A110" s="1">
        <v>1119</v>
      </c>
      <c r="B110" s="2">
        <v>46073</v>
      </c>
      <c r="C110" s="1" t="s">
        <v>40</v>
      </c>
      <c r="D110" s="1" t="s">
        <v>41</v>
      </c>
      <c r="E110" s="1" t="s">
        <v>38</v>
      </c>
      <c r="F110" s="1" t="s">
        <v>28</v>
      </c>
      <c r="G110" s="1">
        <v>7</v>
      </c>
      <c r="H110" s="1">
        <v>3724</v>
      </c>
      <c r="I110" s="5">
        <v>10</v>
      </c>
      <c r="J110" s="1" t="s">
        <v>20</v>
      </c>
      <c r="K110" s="1" t="s">
        <v>21</v>
      </c>
      <c r="L110" s="1">
        <f t="shared" si="6"/>
        <v>26068</v>
      </c>
      <c r="M110" s="1">
        <f t="shared" si="5"/>
        <v>2606.8000000000002</v>
      </c>
      <c r="N110" s="1">
        <f t="shared" si="7"/>
        <v>23461.200000000001</v>
      </c>
      <c r="O110" s="1" t="str">
        <f t="shared" si="8"/>
        <v>February</v>
      </c>
      <c r="P110" s="1">
        <f t="shared" si="9"/>
        <v>2026</v>
      </c>
    </row>
    <row r="111" spans="1:16">
      <c r="A111" s="1">
        <v>1121</v>
      </c>
      <c r="B111" s="2">
        <v>46023</v>
      </c>
      <c r="C111" s="1" t="s">
        <v>36</v>
      </c>
      <c r="D111" s="1" t="s">
        <v>17</v>
      </c>
      <c r="E111" s="1" t="s">
        <v>44</v>
      </c>
      <c r="F111" s="1" t="s">
        <v>19</v>
      </c>
      <c r="G111" s="1">
        <v>1</v>
      </c>
      <c r="H111" s="1">
        <v>7453</v>
      </c>
      <c r="I111" s="5">
        <v>15</v>
      </c>
      <c r="J111" s="1" t="s">
        <v>24</v>
      </c>
      <c r="K111" s="1" t="s">
        <v>29</v>
      </c>
      <c r="L111" s="1">
        <f t="shared" si="6"/>
        <v>7453</v>
      </c>
      <c r="M111" s="1">
        <f t="shared" si="5"/>
        <v>1117.95</v>
      </c>
      <c r="N111" s="1">
        <f t="shared" si="7"/>
        <v>6335.05</v>
      </c>
      <c r="O111" s="1" t="str">
        <f t="shared" si="8"/>
        <v>January</v>
      </c>
      <c r="P111" s="1">
        <f t="shared" si="9"/>
        <v>2026</v>
      </c>
    </row>
    <row r="112" spans="1:16">
      <c r="A112" s="1">
        <v>1122</v>
      </c>
      <c r="B112" s="2">
        <v>46108</v>
      </c>
      <c r="C112" s="1" t="s">
        <v>29</v>
      </c>
      <c r="D112" s="1" t="s">
        <v>41</v>
      </c>
      <c r="E112" s="1" t="s">
        <v>35</v>
      </c>
      <c r="F112" s="1" t="s">
        <v>19</v>
      </c>
      <c r="G112" s="1">
        <v>3</v>
      </c>
      <c r="H112" s="1">
        <v>9414</v>
      </c>
      <c r="I112" s="5">
        <v>15</v>
      </c>
      <c r="J112" s="1" t="s">
        <v>24</v>
      </c>
      <c r="K112" s="1" t="s">
        <v>21</v>
      </c>
      <c r="L112" s="1">
        <f t="shared" si="6"/>
        <v>28242</v>
      </c>
      <c r="M112" s="1">
        <f t="shared" si="5"/>
        <v>4236.3</v>
      </c>
      <c r="N112" s="1">
        <f t="shared" si="7"/>
        <v>24005.7</v>
      </c>
      <c r="O112" s="1" t="str">
        <f t="shared" si="8"/>
        <v>March</v>
      </c>
      <c r="P112" s="1">
        <f t="shared" si="9"/>
        <v>2026</v>
      </c>
    </row>
    <row r="113" spans="1:16">
      <c r="A113" s="1">
        <v>1123</v>
      </c>
      <c r="B113" s="2">
        <v>46098</v>
      </c>
      <c r="C113" s="1" t="s">
        <v>30</v>
      </c>
      <c r="D113" s="1" t="s">
        <v>17</v>
      </c>
      <c r="E113" s="1" t="s">
        <v>38</v>
      </c>
      <c r="F113" s="1" t="s">
        <v>28</v>
      </c>
      <c r="G113" s="1">
        <v>10</v>
      </c>
      <c r="H113" s="1">
        <v>3154</v>
      </c>
      <c r="I113" s="5">
        <v>10</v>
      </c>
      <c r="J113" s="1" t="s">
        <v>24</v>
      </c>
      <c r="K113" s="1" t="s">
        <v>25</v>
      </c>
      <c r="L113" s="1">
        <f t="shared" si="6"/>
        <v>31540</v>
      </c>
      <c r="M113" s="1">
        <f t="shared" si="5"/>
        <v>3154</v>
      </c>
      <c r="N113" s="1">
        <f t="shared" si="7"/>
        <v>28386</v>
      </c>
      <c r="O113" s="1" t="str">
        <f t="shared" si="8"/>
        <v>March</v>
      </c>
      <c r="P113" s="1">
        <f t="shared" si="9"/>
        <v>2026</v>
      </c>
    </row>
    <row r="114" spans="1:16">
      <c r="A114" s="1">
        <v>1124</v>
      </c>
      <c r="B114" s="2">
        <v>46105</v>
      </c>
      <c r="C114" s="1" t="s">
        <v>33</v>
      </c>
      <c r="D114" s="1" t="s">
        <v>31</v>
      </c>
      <c r="E114" s="1" t="s">
        <v>44</v>
      </c>
      <c r="F114" s="1" t="s">
        <v>19</v>
      </c>
      <c r="G114" s="1">
        <v>10</v>
      </c>
      <c r="H114" s="1">
        <v>6696</v>
      </c>
      <c r="I114" s="5">
        <v>15</v>
      </c>
      <c r="J114" s="1" t="s">
        <v>24</v>
      </c>
      <c r="K114" s="1" t="s">
        <v>25</v>
      </c>
      <c r="L114" s="1">
        <f t="shared" si="6"/>
        <v>66960</v>
      </c>
      <c r="M114" s="1">
        <f t="shared" si="5"/>
        <v>10044</v>
      </c>
      <c r="N114" s="1">
        <f t="shared" si="7"/>
        <v>56916</v>
      </c>
      <c r="O114" s="1" t="str">
        <f t="shared" si="8"/>
        <v>March</v>
      </c>
      <c r="P114" s="1">
        <f t="shared" si="9"/>
        <v>2026</v>
      </c>
    </row>
    <row r="115" spans="1:16">
      <c r="A115" s="1">
        <v>1125</v>
      </c>
      <c r="B115" s="2">
        <v>46044</v>
      </c>
      <c r="C115" s="1" t="s">
        <v>36</v>
      </c>
      <c r="D115" s="1" t="s">
        <v>45</v>
      </c>
      <c r="E115" s="1" t="s">
        <v>35</v>
      </c>
      <c r="F115" s="1" t="s">
        <v>19</v>
      </c>
      <c r="G115" s="1">
        <v>3</v>
      </c>
      <c r="H115" s="1">
        <v>8892</v>
      </c>
      <c r="I115" s="5">
        <v>15</v>
      </c>
      <c r="J115" s="1" t="s">
        <v>24</v>
      </c>
      <c r="K115" s="1" t="s">
        <v>25</v>
      </c>
      <c r="L115" s="1">
        <f t="shared" si="6"/>
        <v>26676</v>
      </c>
      <c r="M115" s="1">
        <f t="shared" si="5"/>
        <v>4001.3999999999996</v>
      </c>
      <c r="N115" s="1">
        <f t="shared" si="7"/>
        <v>22674.6</v>
      </c>
      <c r="O115" s="1" t="str">
        <f t="shared" si="8"/>
        <v>January</v>
      </c>
      <c r="P115" s="1">
        <f t="shared" si="9"/>
        <v>2026</v>
      </c>
    </row>
    <row r="116" spans="1:16">
      <c r="A116" s="1">
        <v>1126</v>
      </c>
      <c r="B116" s="2">
        <v>46100</v>
      </c>
      <c r="C116" s="1" t="s">
        <v>39</v>
      </c>
      <c r="D116" s="1" t="s">
        <v>31</v>
      </c>
      <c r="E116" s="1" t="s">
        <v>35</v>
      </c>
      <c r="F116" s="1" t="s">
        <v>19</v>
      </c>
      <c r="G116" s="1">
        <v>5</v>
      </c>
      <c r="H116" s="1">
        <v>8732</v>
      </c>
      <c r="I116" s="5">
        <v>0</v>
      </c>
      <c r="J116" s="1" t="s">
        <v>20</v>
      </c>
      <c r="K116" s="1" t="s">
        <v>25</v>
      </c>
      <c r="L116" s="1">
        <f t="shared" si="6"/>
        <v>43660</v>
      </c>
      <c r="M116" s="1">
        <f t="shared" si="5"/>
        <v>0</v>
      </c>
      <c r="N116" s="1">
        <f t="shared" si="7"/>
        <v>43660</v>
      </c>
      <c r="O116" s="1" t="str">
        <f t="shared" si="8"/>
        <v>March</v>
      </c>
      <c r="P116" s="1">
        <f t="shared" si="9"/>
        <v>2026</v>
      </c>
    </row>
    <row r="117" spans="1:16">
      <c r="A117" s="1">
        <v>1127</v>
      </c>
      <c r="B117" s="2">
        <v>46044</v>
      </c>
      <c r="C117" s="1" t="s">
        <v>40</v>
      </c>
      <c r="D117" s="1" t="s">
        <v>31</v>
      </c>
      <c r="E117" s="1" t="s">
        <v>35</v>
      </c>
      <c r="F117" s="1" t="s">
        <v>19</v>
      </c>
      <c r="G117" s="1">
        <v>10</v>
      </c>
      <c r="H117" s="1">
        <v>9410</v>
      </c>
      <c r="I117" s="5">
        <v>5</v>
      </c>
      <c r="J117" s="1" t="s">
        <v>20</v>
      </c>
      <c r="K117" s="1" t="s">
        <v>25</v>
      </c>
      <c r="L117" s="1">
        <f t="shared" si="6"/>
        <v>94100</v>
      </c>
      <c r="M117" s="1">
        <f t="shared" si="5"/>
        <v>4705</v>
      </c>
      <c r="N117" s="1">
        <f t="shared" si="7"/>
        <v>89395</v>
      </c>
      <c r="O117" s="1" t="str">
        <f t="shared" si="8"/>
        <v>January</v>
      </c>
      <c r="P117" s="1">
        <f t="shared" si="9"/>
        <v>2026</v>
      </c>
    </row>
    <row r="118" spans="1:16">
      <c r="A118" s="1">
        <v>1128</v>
      </c>
      <c r="B118" s="2">
        <v>46066</v>
      </c>
      <c r="C118" s="1" t="s">
        <v>40</v>
      </c>
      <c r="D118" s="1" t="s">
        <v>31</v>
      </c>
      <c r="E118" s="1" t="s">
        <v>32</v>
      </c>
      <c r="F118" s="1" t="s">
        <v>28</v>
      </c>
      <c r="G118" s="1">
        <v>10</v>
      </c>
      <c r="H118" s="1">
        <v>1304</v>
      </c>
      <c r="I118" s="5">
        <v>10</v>
      </c>
      <c r="J118" s="1" t="s">
        <v>24</v>
      </c>
      <c r="K118" s="1" t="s">
        <v>21</v>
      </c>
      <c r="L118" s="1">
        <f t="shared" si="6"/>
        <v>13040</v>
      </c>
      <c r="M118" s="1">
        <f t="shared" si="5"/>
        <v>1304</v>
      </c>
      <c r="N118" s="1">
        <f t="shared" si="7"/>
        <v>11736</v>
      </c>
      <c r="O118" s="1" t="str">
        <f t="shared" si="8"/>
        <v>February</v>
      </c>
      <c r="P118" s="1">
        <f t="shared" si="9"/>
        <v>2026</v>
      </c>
    </row>
    <row r="119" spans="1:16">
      <c r="A119" s="1">
        <v>1129</v>
      </c>
      <c r="B119" s="2">
        <v>46041</v>
      </c>
      <c r="C119" s="1" t="s">
        <v>39</v>
      </c>
      <c r="D119" s="1" t="s">
        <v>17</v>
      </c>
      <c r="E119" s="1" t="s">
        <v>23</v>
      </c>
      <c r="F119" s="1" t="s">
        <v>19</v>
      </c>
      <c r="G119" s="1">
        <v>2</v>
      </c>
      <c r="H119" s="1">
        <v>516</v>
      </c>
      <c r="I119" s="5">
        <v>15</v>
      </c>
      <c r="J119" s="1" t="s">
        <v>24</v>
      </c>
      <c r="K119" s="1" t="s">
        <v>25</v>
      </c>
      <c r="L119" s="1">
        <f t="shared" si="6"/>
        <v>1032</v>
      </c>
      <c r="M119" s="1">
        <f t="shared" si="5"/>
        <v>154.79999999999998</v>
      </c>
      <c r="N119" s="1">
        <f t="shared" si="7"/>
        <v>877.2</v>
      </c>
      <c r="O119" s="1" t="str">
        <f t="shared" si="8"/>
        <v>January</v>
      </c>
      <c r="P119" s="1">
        <f t="shared" si="9"/>
        <v>2026</v>
      </c>
    </row>
    <row r="120" spans="1:16">
      <c r="A120" s="1">
        <v>1130</v>
      </c>
      <c r="B120" s="2">
        <v>46060</v>
      </c>
      <c r="C120" s="1" t="s">
        <v>40</v>
      </c>
      <c r="D120" s="1" t="s">
        <v>31</v>
      </c>
      <c r="E120" s="1" t="s">
        <v>32</v>
      </c>
      <c r="F120" s="1" t="s">
        <v>28</v>
      </c>
      <c r="G120" s="1">
        <v>4</v>
      </c>
      <c r="H120" s="1">
        <v>829</v>
      </c>
      <c r="I120" s="5">
        <v>15</v>
      </c>
      <c r="J120" s="1" t="s">
        <v>24</v>
      </c>
      <c r="K120" s="1" t="s">
        <v>29</v>
      </c>
      <c r="L120" s="1">
        <f t="shared" si="6"/>
        <v>3316</v>
      </c>
      <c r="M120" s="1">
        <f t="shared" si="5"/>
        <v>497.4</v>
      </c>
      <c r="N120" s="1">
        <f t="shared" si="7"/>
        <v>2818.6</v>
      </c>
      <c r="O120" s="1" t="str">
        <f t="shared" si="8"/>
        <v>February</v>
      </c>
      <c r="P120" s="1">
        <f t="shared" si="9"/>
        <v>2026</v>
      </c>
    </row>
    <row r="121" spans="1:16">
      <c r="A121" s="1">
        <v>1131</v>
      </c>
      <c r="B121" s="2">
        <v>46051</v>
      </c>
      <c r="C121" s="1" t="s">
        <v>36</v>
      </c>
      <c r="D121" s="1" t="s">
        <v>31</v>
      </c>
      <c r="E121" s="1" t="s">
        <v>18</v>
      </c>
      <c r="F121" s="1" t="s">
        <v>19</v>
      </c>
      <c r="G121" s="1">
        <v>3</v>
      </c>
      <c r="H121" s="1">
        <v>943</v>
      </c>
      <c r="I121" s="5">
        <v>0</v>
      </c>
      <c r="J121" s="1" t="s">
        <v>24</v>
      </c>
      <c r="K121" s="1" t="s">
        <v>21</v>
      </c>
      <c r="L121" s="1">
        <f t="shared" si="6"/>
        <v>2829</v>
      </c>
      <c r="M121" s="1">
        <f t="shared" si="5"/>
        <v>0</v>
      </c>
      <c r="N121" s="1">
        <f t="shared" si="7"/>
        <v>2829</v>
      </c>
      <c r="O121" s="1" t="str">
        <f t="shared" si="8"/>
        <v>January</v>
      </c>
      <c r="P121" s="1">
        <f t="shared" si="9"/>
        <v>2026</v>
      </c>
    </row>
    <row r="122" spans="1:16">
      <c r="A122" s="1">
        <v>1132</v>
      </c>
      <c r="B122" s="2">
        <v>46045</v>
      </c>
      <c r="C122" s="1" t="s">
        <v>33</v>
      </c>
      <c r="D122" s="1" t="s">
        <v>41</v>
      </c>
      <c r="E122" s="1" t="s">
        <v>38</v>
      </c>
      <c r="F122" s="1" t="s">
        <v>28</v>
      </c>
      <c r="G122" s="1">
        <v>8</v>
      </c>
      <c r="H122" s="1">
        <v>3437</v>
      </c>
      <c r="I122" s="5">
        <v>5</v>
      </c>
      <c r="J122" s="1" t="s">
        <v>20</v>
      </c>
      <c r="K122" s="1" t="s">
        <v>25</v>
      </c>
      <c r="L122" s="1">
        <f t="shared" si="6"/>
        <v>27496</v>
      </c>
      <c r="M122" s="1">
        <f t="shared" si="5"/>
        <v>1374.8000000000002</v>
      </c>
      <c r="N122" s="1">
        <f t="shared" si="7"/>
        <v>26121.200000000001</v>
      </c>
      <c r="O122" s="1" t="str">
        <f t="shared" si="8"/>
        <v>January</v>
      </c>
      <c r="P122" s="1">
        <f t="shared" si="9"/>
        <v>2026</v>
      </c>
    </row>
    <row r="123" spans="1:16">
      <c r="A123" s="1">
        <v>1133</v>
      </c>
      <c r="B123" s="2">
        <v>46026</v>
      </c>
      <c r="C123" s="1" t="s">
        <v>26</v>
      </c>
      <c r="D123" s="1" t="s">
        <v>17</v>
      </c>
      <c r="E123" s="1" t="s">
        <v>32</v>
      </c>
      <c r="F123" s="1" t="s">
        <v>28</v>
      </c>
      <c r="G123" s="1">
        <v>7</v>
      </c>
      <c r="H123" s="1">
        <v>1572</v>
      </c>
      <c r="I123" s="5">
        <v>0</v>
      </c>
      <c r="J123" s="1" t="s">
        <v>20</v>
      </c>
      <c r="K123" s="1" t="s">
        <v>29</v>
      </c>
      <c r="L123" s="1">
        <f t="shared" si="6"/>
        <v>11004</v>
      </c>
      <c r="M123" s="1">
        <f t="shared" si="5"/>
        <v>0</v>
      </c>
      <c r="N123" s="1">
        <f t="shared" si="7"/>
        <v>11004</v>
      </c>
      <c r="O123" s="1" t="str">
        <f t="shared" si="8"/>
        <v>January</v>
      </c>
      <c r="P123" s="1">
        <f t="shared" si="9"/>
        <v>2026</v>
      </c>
    </row>
    <row r="124" spans="1:16">
      <c r="A124" s="1">
        <v>1134</v>
      </c>
      <c r="B124" s="2">
        <v>46109</v>
      </c>
      <c r="C124" s="1" t="s">
        <v>30</v>
      </c>
      <c r="D124" s="1" t="s">
        <v>45</v>
      </c>
      <c r="E124" s="1" t="s">
        <v>23</v>
      </c>
      <c r="F124" s="1" t="s">
        <v>19</v>
      </c>
      <c r="G124" s="1">
        <v>1</v>
      </c>
      <c r="H124" s="1">
        <v>1016</v>
      </c>
      <c r="I124" s="5">
        <v>10</v>
      </c>
      <c r="J124" s="1" t="s">
        <v>24</v>
      </c>
      <c r="K124" s="1" t="s">
        <v>29</v>
      </c>
      <c r="L124" s="1">
        <f t="shared" si="6"/>
        <v>1016</v>
      </c>
      <c r="M124" s="1">
        <f t="shared" si="5"/>
        <v>101.60000000000001</v>
      </c>
      <c r="N124" s="1">
        <f t="shared" si="7"/>
        <v>914.4</v>
      </c>
      <c r="O124" s="1" t="str">
        <f t="shared" si="8"/>
        <v>March</v>
      </c>
      <c r="P124" s="1">
        <f t="shared" si="9"/>
        <v>2026</v>
      </c>
    </row>
    <row r="125" spans="1:16">
      <c r="A125" s="1">
        <v>1135</v>
      </c>
      <c r="B125" s="2">
        <v>46101</v>
      </c>
      <c r="C125" s="1" t="s">
        <v>22</v>
      </c>
      <c r="D125" s="1" t="s">
        <v>17</v>
      </c>
      <c r="E125" s="1" t="s">
        <v>18</v>
      </c>
      <c r="F125" s="1" t="s">
        <v>19</v>
      </c>
      <c r="G125" s="1">
        <v>8</v>
      </c>
      <c r="H125" s="1">
        <v>527</v>
      </c>
      <c r="I125" s="5">
        <v>15</v>
      </c>
      <c r="J125" s="1" t="s">
        <v>24</v>
      </c>
      <c r="K125" s="1" t="s">
        <v>25</v>
      </c>
      <c r="L125" s="1">
        <f t="shared" si="6"/>
        <v>4216</v>
      </c>
      <c r="M125" s="1">
        <f t="shared" si="5"/>
        <v>632.4</v>
      </c>
      <c r="N125" s="1">
        <f t="shared" si="7"/>
        <v>3583.6</v>
      </c>
      <c r="O125" s="1" t="str">
        <f t="shared" si="8"/>
        <v>March</v>
      </c>
      <c r="P125" s="1">
        <f t="shared" si="9"/>
        <v>2026</v>
      </c>
    </row>
    <row r="126" spans="1:16">
      <c r="A126" s="1">
        <v>1136</v>
      </c>
      <c r="B126" s="2">
        <v>46074</v>
      </c>
      <c r="C126" s="1" t="s">
        <v>36</v>
      </c>
      <c r="D126" s="1" t="s">
        <v>17</v>
      </c>
      <c r="E126" s="1" t="s">
        <v>38</v>
      </c>
      <c r="F126" s="1" t="s">
        <v>28</v>
      </c>
      <c r="G126" s="1">
        <v>8</v>
      </c>
      <c r="H126" s="1">
        <v>3223</v>
      </c>
      <c r="I126" s="5">
        <v>5</v>
      </c>
      <c r="J126" s="1" t="s">
        <v>24</v>
      </c>
      <c r="K126" s="1" t="s">
        <v>25</v>
      </c>
      <c r="L126" s="1">
        <f t="shared" si="6"/>
        <v>25784</v>
      </c>
      <c r="M126" s="1">
        <f t="shared" si="5"/>
        <v>1289.2</v>
      </c>
      <c r="N126" s="1">
        <f t="shared" si="7"/>
        <v>24494.799999999999</v>
      </c>
      <c r="O126" s="1" t="str">
        <f t="shared" si="8"/>
        <v>February</v>
      </c>
      <c r="P126" s="1">
        <f t="shared" si="9"/>
        <v>2026</v>
      </c>
    </row>
    <row r="127" spans="1:16">
      <c r="A127" s="1">
        <v>1137</v>
      </c>
      <c r="B127" s="2">
        <v>46103</v>
      </c>
      <c r="C127" s="1" t="s">
        <v>22</v>
      </c>
      <c r="D127" s="1" t="s">
        <v>17</v>
      </c>
      <c r="E127" s="1" t="s">
        <v>38</v>
      </c>
      <c r="F127" s="1" t="s">
        <v>28</v>
      </c>
      <c r="G127" s="1">
        <v>7</v>
      </c>
      <c r="H127" s="1">
        <v>3881</v>
      </c>
      <c r="I127" s="5">
        <v>10</v>
      </c>
      <c r="J127" s="1" t="s">
        <v>20</v>
      </c>
      <c r="K127" s="1" t="s">
        <v>25</v>
      </c>
      <c r="L127" s="1">
        <f t="shared" si="6"/>
        <v>27167</v>
      </c>
      <c r="M127" s="1">
        <f t="shared" si="5"/>
        <v>2716.7000000000003</v>
      </c>
      <c r="N127" s="1">
        <f t="shared" si="7"/>
        <v>24450.3</v>
      </c>
      <c r="O127" s="1" t="str">
        <f t="shared" si="8"/>
        <v>March</v>
      </c>
      <c r="P127" s="1">
        <f t="shared" si="9"/>
        <v>2026</v>
      </c>
    </row>
    <row r="128" spans="1:16">
      <c r="A128" s="1">
        <v>1138</v>
      </c>
      <c r="B128" s="2">
        <v>46043</v>
      </c>
      <c r="C128" s="1" t="s">
        <v>22</v>
      </c>
      <c r="D128" s="1" t="s">
        <v>17</v>
      </c>
      <c r="E128" s="1" t="s">
        <v>44</v>
      </c>
      <c r="F128" s="1" t="s">
        <v>19</v>
      </c>
      <c r="G128" s="1">
        <v>4</v>
      </c>
      <c r="H128" s="1">
        <v>7057</v>
      </c>
      <c r="I128" s="5">
        <v>5</v>
      </c>
      <c r="J128" s="1" t="s">
        <v>24</v>
      </c>
      <c r="K128" s="1" t="s">
        <v>25</v>
      </c>
      <c r="L128" s="1">
        <f t="shared" si="6"/>
        <v>28228</v>
      </c>
      <c r="M128" s="1">
        <f t="shared" si="5"/>
        <v>1411.4</v>
      </c>
      <c r="N128" s="1">
        <f t="shared" si="7"/>
        <v>26816.6</v>
      </c>
      <c r="O128" s="1" t="str">
        <f t="shared" si="8"/>
        <v>January</v>
      </c>
      <c r="P128" s="1">
        <f t="shared" si="9"/>
        <v>2026</v>
      </c>
    </row>
    <row r="129" spans="1:16">
      <c r="A129" s="1">
        <v>1139</v>
      </c>
      <c r="B129" s="2">
        <v>46037</v>
      </c>
      <c r="C129" s="1" t="s">
        <v>36</v>
      </c>
      <c r="D129" s="1" t="s">
        <v>45</v>
      </c>
      <c r="E129" s="1" t="s">
        <v>32</v>
      </c>
      <c r="F129" s="1" t="s">
        <v>28</v>
      </c>
      <c r="G129" s="1">
        <v>3</v>
      </c>
      <c r="H129" s="1">
        <v>1051</v>
      </c>
      <c r="I129" s="5">
        <v>5</v>
      </c>
      <c r="J129" s="1" t="s">
        <v>24</v>
      </c>
      <c r="K129" s="1" t="s">
        <v>25</v>
      </c>
      <c r="L129" s="1">
        <f t="shared" si="6"/>
        <v>3153</v>
      </c>
      <c r="M129" s="1">
        <f t="shared" si="5"/>
        <v>157.65</v>
      </c>
      <c r="N129" s="1">
        <f t="shared" si="7"/>
        <v>2995.35</v>
      </c>
      <c r="O129" s="1" t="str">
        <f t="shared" si="8"/>
        <v>January</v>
      </c>
      <c r="P129" s="1">
        <f t="shared" si="9"/>
        <v>2026</v>
      </c>
    </row>
    <row r="130" spans="1:16">
      <c r="A130" s="1">
        <v>1141</v>
      </c>
      <c r="B130" s="2">
        <v>46065</v>
      </c>
      <c r="C130" s="1" t="s">
        <v>30</v>
      </c>
      <c r="D130" s="1" t="s">
        <v>31</v>
      </c>
      <c r="E130" s="1" t="s">
        <v>34</v>
      </c>
      <c r="F130" s="1" t="s">
        <v>19</v>
      </c>
      <c r="G130" s="1">
        <v>5</v>
      </c>
      <c r="H130" s="1">
        <v>14965</v>
      </c>
      <c r="I130" s="5">
        <v>15</v>
      </c>
      <c r="J130" s="1" t="s">
        <v>20</v>
      </c>
      <c r="K130" s="1" t="s">
        <v>25</v>
      </c>
      <c r="L130" s="1">
        <f t="shared" si="6"/>
        <v>74825</v>
      </c>
      <c r="M130" s="1">
        <f t="shared" ref="M130:M193" si="10">L130*(I130/100)</f>
        <v>11223.75</v>
      </c>
      <c r="N130" s="1">
        <f t="shared" si="7"/>
        <v>63601.25</v>
      </c>
      <c r="O130" s="1" t="str">
        <f t="shared" si="8"/>
        <v>February</v>
      </c>
      <c r="P130" s="1">
        <f t="shared" si="9"/>
        <v>2026</v>
      </c>
    </row>
    <row r="131" spans="1:16">
      <c r="A131" s="1">
        <v>1142</v>
      </c>
      <c r="B131" s="2">
        <v>46086</v>
      </c>
      <c r="C131" s="1" t="s">
        <v>40</v>
      </c>
      <c r="D131" s="1" t="s">
        <v>41</v>
      </c>
      <c r="E131" s="1" t="s">
        <v>34</v>
      </c>
      <c r="F131" s="1" t="s">
        <v>19</v>
      </c>
      <c r="G131" s="1">
        <v>10</v>
      </c>
      <c r="H131" s="1">
        <v>14581</v>
      </c>
      <c r="I131" s="5">
        <v>15</v>
      </c>
      <c r="J131" s="1" t="s">
        <v>24</v>
      </c>
      <c r="K131" s="1" t="s">
        <v>29</v>
      </c>
      <c r="L131" s="1">
        <f t="shared" ref="L131:L194" si="11">G131*H131</f>
        <v>145810</v>
      </c>
      <c r="M131" s="1">
        <f t="shared" si="10"/>
        <v>21871.5</v>
      </c>
      <c r="N131" s="1">
        <f t="shared" ref="N131:N194" si="12">L131-M131</f>
        <v>123938.5</v>
      </c>
      <c r="O131" s="1" t="str">
        <f t="shared" ref="O131:O194" si="13">TEXT(B131,"mmmm")</f>
        <v>March</v>
      </c>
      <c r="P131" s="1">
        <f t="shared" ref="P131:P194" si="14">YEAR(B131)</f>
        <v>2026</v>
      </c>
    </row>
    <row r="132" spans="1:16">
      <c r="A132" s="1">
        <v>1143</v>
      </c>
      <c r="B132" s="2">
        <v>46096</v>
      </c>
      <c r="C132" s="1" t="s">
        <v>22</v>
      </c>
      <c r="D132" s="1" t="s">
        <v>17</v>
      </c>
      <c r="E132" s="1" t="s">
        <v>32</v>
      </c>
      <c r="F132" s="1" t="s">
        <v>28</v>
      </c>
      <c r="G132" s="1">
        <v>5</v>
      </c>
      <c r="H132" s="1">
        <v>1657</v>
      </c>
      <c r="I132" s="5">
        <v>10</v>
      </c>
      <c r="J132" s="1" t="s">
        <v>24</v>
      </c>
      <c r="K132" s="1" t="s">
        <v>21</v>
      </c>
      <c r="L132" s="1">
        <f t="shared" si="11"/>
        <v>8285</v>
      </c>
      <c r="M132" s="1">
        <f t="shared" si="10"/>
        <v>828.5</v>
      </c>
      <c r="N132" s="1">
        <f t="shared" si="12"/>
        <v>7456.5</v>
      </c>
      <c r="O132" s="1" t="str">
        <f t="shared" si="13"/>
        <v>March</v>
      </c>
      <c r="P132" s="1">
        <f t="shared" si="14"/>
        <v>2026</v>
      </c>
    </row>
    <row r="133" spans="1:16">
      <c r="A133" s="1">
        <v>1144</v>
      </c>
      <c r="B133" s="2">
        <v>46095</v>
      </c>
      <c r="C133" s="1" t="s">
        <v>33</v>
      </c>
      <c r="D133" s="1" t="s">
        <v>17</v>
      </c>
      <c r="E133" s="1" t="s">
        <v>23</v>
      </c>
      <c r="F133" s="1" t="s">
        <v>19</v>
      </c>
      <c r="G133" s="1">
        <v>6</v>
      </c>
      <c r="H133" s="1">
        <v>959</v>
      </c>
      <c r="I133" s="5">
        <v>0</v>
      </c>
      <c r="J133" s="1" t="s">
        <v>24</v>
      </c>
      <c r="K133" s="1" t="s">
        <v>25</v>
      </c>
      <c r="L133" s="1">
        <f t="shared" si="11"/>
        <v>5754</v>
      </c>
      <c r="M133" s="1">
        <f t="shared" si="10"/>
        <v>0</v>
      </c>
      <c r="N133" s="1">
        <f t="shared" si="12"/>
        <v>5754</v>
      </c>
      <c r="O133" s="1" t="str">
        <f t="shared" si="13"/>
        <v>March</v>
      </c>
      <c r="P133" s="1">
        <f t="shared" si="14"/>
        <v>2026</v>
      </c>
    </row>
    <row r="134" spans="1:16">
      <c r="A134" s="1">
        <v>1146</v>
      </c>
      <c r="B134" s="2">
        <v>46023</v>
      </c>
      <c r="C134" s="1" t="s">
        <v>22</v>
      </c>
      <c r="D134" s="1" t="s">
        <v>41</v>
      </c>
      <c r="E134" s="1" t="s">
        <v>23</v>
      </c>
      <c r="F134" s="1" t="s">
        <v>19</v>
      </c>
      <c r="G134" s="1">
        <v>6</v>
      </c>
      <c r="H134" s="1">
        <v>491</v>
      </c>
      <c r="I134" s="5">
        <v>10</v>
      </c>
      <c r="J134" s="1" t="s">
        <v>20</v>
      </c>
      <c r="K134" s="1" t="s">
        <v>25</v>
      </c>
      <c r="L134" s="1">
        <f t="shared" si="11"/>
        <v>2946</v>
      </c>
      <c r="M134" s="1">
        <f t="shared" si="10"/>
        <v>294.60000000000002</v>
      </c>
      <c r="N134" s="1">
        <f t="shared" si="12"/>
        <v>2651.4</v>
      </c>
      <c r="O134" s="1" t="str">
        <f t="shared" si="13"/>
        <v>January</v>
      </c>
      <c r="P134" s="1">
        <f t="shared" si="14"/>
        <v>2026</v>
      </c>
    </row>
    <row r="135" spans="1:16">
      <c r="A135" s="1">
        <v>1147</v>
      </c>
      <c r="B135" s="2">
        <v>46065</v>
      </c>
      <c r="C135" s="1" t="s">
        <v>42</v>
      </c>
      <c r="D135" s="1" t="s">
        <v>31</v>
      </c>
      <c r="E135" s="1" t="s">
        <v>38</v>
      </c>
      <c r="F135" s="1" t="s">
        <v>28</v>
      </c>
      <c r="G135" s="1">
        <v>2</v>
      </c>
      <c r="H135" s="1">
        <v>3027</v>
      </c>
      <c r="I135" s="5">
        <v>10</v>
      </c>
      <c r="J135" s="1" t="s">
        <v>24</v>
      </c>
      <c r="K135" s="1" t="s">
        <v>25</v>
      </c>
      <c r="L135" s="1">
        <f t="shared" si="11"/>
        <v>6054</v>
      </c>
      <c r="M135" s="1">
        <f t="shared" si="10"/>
        <v>605.4</v>
      </c>
      <c r="N135" s="1">
        <f t="shared" si="12"/>
        <v>5448.6</v>
      </c>
      <c r="O135" s="1" t="str">
        <f t="shared" si="13"/>
        <v>February</v>
      </c>
      <c r="P135" s="1">
        <f t="shared" si="14"/>
        <v>2026</v>
      </c>
    </row>
    <row r="136" spans="1:16">
      <c r="A136" s="1">
        <v>1148</v>
      </c>
      <c r="B136" s="2">
        <v>46104</v>
      </c>
      <c r="C136" s="1" t="s">
        <v>16</v>
      </c>
      <c r="D136" s="1" t="s">
        <v>45</v>
      </c>
      <c r="E136" s="1" t="s">
        <v>38</v>
      </c>
      <c r="F136" s="1" t="s">
        <v>28</v>
      </c>
      <c r="G136" s="1">
        <v>7</v>
      </c>
      <c r="H136" s="1">
        <v>3388</v>
      </c>
      <c r="I136" s="5">
        <v>0</v>
      </c>
      <c r="J136" s="1" t="s">
        <v>20</v>
      </c>
      <c r="K136" s="1" t="s">
        <v>21</v>
      </c>
      <c r="L136" s="1">
        <f t="shared" si="11"/>
        <v>23716</v>
      </c>
      <c r="M136" s="1">
        <f t="shared" si="10"/>
        <v>0</v>
      </c>
      <c r="N136" s="1">
        <f t="shared" si="12"/>
        <v>23716</v>
      </c>
      <c r="O136" s="1" t="str">
        <f t="shared" si="13"/>
        <v>March</v>
      </c>
      <c r="P136" s="1">
        <f t="shared" si="14"/>
        <v>2026</v>
      </c>
    </row>
    <row r="137" spans="1:16">
      <c r="A137" s="1">
        <v>1149</v>
      </c>
      <c r="B137" s="2">
        <v>46043</v>
      </c>
      <c r="C137" s="1" t="s">
        <v>33</v>
      </c>
      <c r="D137" s="1" t="s">
        <v>41</v>
      </c>
      <c r="E137" s="1" t="s">
        <v>18</v>
      </c>
      <c r="F137" s="1" t="s">
        <v>19</v>
      </c>
      <c r="G137" s="1">
        <v>1</v>
      </c>
      <c r="H137" s="1">
        <v>511</v>
      </c>
      <c r="I137" s="5">
        <v>5</v>
      </c>
      <c r="J137" s="1" t="s">
        <v>20</v>
      </c>
      <c r="K137" s="1" t="s">
        <v>29</v>
      </c>
      <c r="L137" s="1">
        <f t="shared" si="11"/>
        <v>511</v>
      </c>
      <c r="M137" s="1">
        <f t="shared" si="10"/>
        <v>25.55</v>
      </c>
      <c r="N137" s="1">
        <f t="shared" si="12"/>
        <v>485.45</v>
      </c>
      <c r="O137" s="1" t="str">
        <f t="shared" si="13"/>
        <v>January</v>
      </c>
      <c r="P137" s="1">
        <f t="shared" si="14"/>
        <v>2026</v>
      </c>
    </row>
    <row r="138" spans="1:16">
      <c r="A138" s="1">
        <v>1150</v>
      </c>
      <c r="B138" s="2">
        <v>46048</v>
      </c>
      <c r="C138" s="1" t="s">
        <v>16</v>
      </c>
      <c r="D138" s="1" t="s">
        <v>31</v>
      </c>
      <c r="E138" s="1" t="s">
        <v>35</v>
      </c>
      <c r="F138" s="1" t="s">
        <v>19</v>
      </c>
      <c r="G138" s="1">
        <v>9</v>
      </c>
      <c r="H138" s="1">
        <v>9445</v>
      </c>
      <c r="I138" s="5">
        <v>10</v>
      </c>
      <c r="J138" s="1" t="s">
        <v>20</v>
      </c>
      <c r="K138" s="1" t="s">
        <v>25</v>
      </c>
      <c r="L138" s="1">
        <f t="shared" si="11"/>
        <v>85005</v>
      </c>
      <c r="M138" s="1">
        <f t="shared" si="10"/>
        <v>8500.5</v>
      </c>
      <c r="N138" s="1">
        <f t="shared" si="12"/>
        <v>76504.5</v>
      </c>
      <c r="O138" s="1" t="str">
        <f t="shared" si="13"/>
        <v>January</v>
      </c>
      <c r="P138" s="1">
        <f t="shared" si="14"/>
        <v>2026</v>
      </c>
    </row>
    <row r="139" spans="1:16">
      <c r="A139" s="1">
        <v>1151</v>
      </c>
      <c r="B139" s="2">
        <v>46026</v>
      </c>
      <c r="C139" s="1" t="s">
        <v>26</v>
      </c>
      <c r="D139" s="1" t="s">
        <v>17</v>
      </c>
      <c r="E139" s="1" t="s">
        <v>35</v>
      </c>
      <c r="F139" s="1" t="s">
        <v>19</v>
      </c>
      <c r="G139" s="1">
        <v>7</v>
      </c>
      <c r="H139" s="1">
        <v>8763</v>
      </c>
      <c r="I139" s="5">
        <v>5</v>
      </c>
      <c r="J139" s="1" t="s">
        <v>20</v>
      </c>
      <c r="K139" s="1" t="s">
        <v>29</v>
      </c>
      <c r="L139" s="1">
        <f t="shared" si="11"/>
        <v>61341</v>
      </c>
      <c r="M139" s="1">
        <f t="shared" si="10"/>
        <v>3067.05</v>
      </c>
      <c r="N139" s="1">
        <f t="shared" si="12"/>
        <v>58273.95</v>
      </c>
      <c r="O139" s="1" t="str">
        <f t="shared" si="13"/>
        <v>January</v>
      </c>
      <c r="P139" s="1">
        <f t="shared" si="14"/>
        <v>2026</v>
      </c>
    </row>
    <row r="140" spans="1:16">
      <c r="A140" s="1">
        <v>1152</v>
      </c>
      <c r="B140" s="2">
        <v>46025</v>
      </c>
      <c r="C140" s="1" t="s">
        <v>39</v>
      </c>
      <c r="D140" s="1" t="s">
        <v>17</v>
      </c>
      <c r="E140" s="1" t="s">
        <v>27</v>
      </c>
      <c r="F140" s="1" t="s">
        <v>28</v>
      </c>
      <c r="G140" s="1">
        <v>7</v>
      </c>
      <c r="H140" s="1">
        <v>10188</v>
      </c>
      <c r="I140" s="5">
        <v>15</v>
      </c>
      <c r="J140" s="1" t="s">
        <v>24</v>
      </c>
      <c r="K140" s="1" t="s">
        <v>25</v>
      </c>
      <c r="L140" s="1">
        <f t="shared" si="11"/>
        <v>71316</v>
      </c>
      <c r="M140" s="1">
        <f t="shared" si="10"/>
        <v>10697.4</v>
      </c>
      <c r="N140" s="1">
        <f t="shared" si="12"/>
        <v>60618.6</v>
      </c>
      <c r="O140" s="1" t="str">
        <f t="shared" si="13"/>
        <v>January</v>
      </c>
      <c r="P140" s="1">
        <f t="shared" si="14"/>
        <v>2026</v>
      </c>
    </row>
    <row r="141" spans="1:16">
      <c r="A141" s="1">
        <v>1153</v>
      </c>
      <c r="B141" s="2">
        <v>46045</v>
      </c>
      <c r="C141" s="1" t="s">
        <v>30</v>
      </c>
      <c r="D141" s="1" t="s">
        <v>17</v>
      </c>
      <c r="E141" s="1" t="s">
        <v>35</v>
      </c>
      <c r="F141" s="1" t="s">
        <v>19</v>
      </c>
      <c r="G141" s="1">
        <v>5</v>
      </c>
      <c r="H141" s="1">
        <v>8593</v>
      </c>
      <c r="I141" s="5">
        <v>15</v>
      </c>
      <c r="J141" s="1" t="s">
        <v>24</v>
      </c>
      <c r="K141" s="1" t="s">
        <v>29</v>
      </c>
      <c r="L141" s="1">
        <f t="shared" si="11"/>
        <v>42965</v>
      </c>
      <c r="M141" s="1">
        <f t="shared" si="10"/>
        <v>6444.75</v>
      </c>
      <c r="N141" s="1">
        <f t="shared" si="12"/>
        <v>36520.25</v>
      </c>
      <c r="O141" s="1" t="str">
        <f t="shared" si="13"/>
        <v>January</v>
      </c>
      <c r="P141" s="1">
        <f t="shared" si="14"/>
        <v>2026</v>
      </c>
    </row>
    <row r="142" spans="1:16">
      <c r="A142" s="1">
        <v>1154</v>
      </c>
      <c r="B142" s="2">
        <v>46097</v>
      </c>
      <c r="C142" s="1" t="s">
        <v>30</v>
      </c>
      <c r="D142" s="1" t="s">
        <v>37</v>
      </c>
      <c r="E142" s="1" t="s">
        <v>34</v>
      </c>
      <c r="F142" s="1" t="s">
        <v>19</v>
      </c>
      <c r="G142" s="1">
        <v>9</v>
      </c>
      <c r="H142" s="1">
        <v>15048</v>
      </c>
      <c r="I142" s="5">
        <v>15</v>
      </c>
      <c r="J142" s="1" t="s">
        <v>20</v>
      </c>
      <c r="K142" s="1" t="s">
        <v>25</v>
      </c>
      <c r="L142" s="1">
        <f t="shared" si="11"/>
        <v>135432</v>
      </c>
      <c r="M142" s="1">
        <f t="shared" si="10"/>
        <v>20314.8</v>
      </c>
      <c r="N142" s="1">
        <f t="shared" si="12"/>
        <v>115117.2</v>
      </c>
      <c r="O142" s="1" t="str">
        <f t="shared" si="13"/>
        <v>March</v>
      </c>
      <c r="P142" s="1">
        <f t="shared" si="14"/>
        <v>2026</v>
      </c>
    </row>
    <row r="143" spans="1:16">
      <c r="A143" s="1">
        <v>1155</v>
      </c>
      <c r="B143" s="2">
        <v>46033</v>
      </c>
      <c r="C143" s="1" t="s">
        <v>33</v>
      </c>
      <c r="D143" s="1" t="s">
        <v>37</v>
      </c>
      <c r="E143" s="1" t="s">
        <v>27</v>
      </c>
      <c r="F143" s="1" t="s">
        <v>28</v>
      </c>
      <c r="G143" s="1">
        <v>2</v>
      </c>
      <c r="H143" s="1">
        <v>10332</v>
      </c>
      <c r="I143" s="5">
        <v>0</v>
      </c>
      <c r="J143" s="1" t="s">
        <v>24</v>
      </c>
      <c r="K143" s="1" t="s">
        <v>29</v>
      </c>
      <c r="L143" s="1">
        <f t="shared" si="11"/>
        <v>20664</v>
      </c>
      <c r="M143" s="1">
        <f t="shared" si="10"/>
        <v>0</v>
      </c>
      <c r="N143" s="1">
        <f t="shared" si="12"/>
        <v>20664</v>
      </c>
      <c r="O143" s="1" t="str">
        <f t="shared" si="13"/>
        <v>January</v>
      </c>
      <c r="P143" s="1">
        <f t="shared" si="14"/>
        <v>2026</v>
      </c>
    </row>
    <row r="144" spans="1:16">
      <c r="A144" s="1">
        <v>1156</v>
      </c>
      <c r="B144" s="2">
        <v>46034</v>
      </c>
      <c r="C144" s="1" t="s">
        <v>36</v>
      </c>
      <c r="D144" s="1" t="s">
        <v>17</v>
      </c>
      <c r="E144" s="1" t="s">
        <v>44</v>
      </c>
      <c r="F144" s="1" t="s">
        <v>19</v>
      </c>
      <c r="G144" s="1">
        <v>4</v>
      </c>
      <c r="H144" s="1">
        <v>6635</v>
      </c>
      <c r="I144" s="5">
        <v>5</v>
      </c>
      <c r="J144" s="1" t="s">
        <v>24</v>
      </c>
      <c r="K144" s="1" t="s">
        <v>29</v>
      </c>
      <c r="L144" s="1">
        <f t="shared" si="11"/>
        <v>26540</v>
      </c>
      <c r="M144" s="1">
        <f t="shared" si="10"/>
        <v>1327</v>
      </c>
      <c r="N144" s="1">
        <f t="shared" si="12"/>
        <v>25213</v>
      </c>
      <c r="O144" s="1" t="str">
        <f t="shared" si="13"/>
        <v>January</v>
      </c>
      <c r="P144" s="1">
        <f t="shared" si="14"/>
        <v>2026</v>
      </c>
    </row>
    <row r="145" spans="1:16">
      <c r="A145" s="1">
        <v>1157</v>
      </c>
      <c r="B145" s="2">
        <v>46049</v>
      </c>
      <c r="C145" s="1" t="s">
        <v>26</v>
      </c>
      <c r="D145" s="1" t="s">
        <v>37</v>
      </c>
      <c r="E145" s="1" t="s">
        <v>18</v>
      </c>
      <c r="F145" s="1" t="s">
        <v>19</v>
      </c>
      <c r="G145" s="1">
        <v>9</v>
      </c>
      <c r="H145" s="1">
        <v>482</v>
      </c>
      <c r="I145" s="5">
        <v>0</v>
      </c>
      <c r="J145" s="1" t="s">
        <v>20</v>
      </c>
      <c r="K145" s="1" t="s">
        <v>29</v>
      </c>
      <c r="L145" s="1">
        <f t="shared" si="11"/>
        <v>4338</v>
      </c>
      <c r="M145" s="1">
        <f t="shared" si="10"/>
        <v>0</v>
      </c>
      <c r="N145" s="1">
        <f t="shared" si="12"/>
        <v>4338</v>
      </c>
      <c r="O145" s="1" t="str">
        <f t="shared" si="13"/>
        <v>January</v>
      </c>
      <c r="P145" s="1">
        <f t="shared" si="14"/>
        <v>2026</v>
      </c>
    </row>
    <row r="146" spans="1:16">
      <c r="A146" s="1">
        <v>1159</v>
      </c>
      <c r="B146" s="2">
        <v>46050</v>
      </c>
      <c r="C146" s="1" t="s">
        <v>21</v>
      </c>
      <c r="D146" s="1" t="s">
        <v>41</v>
      </c>
      <c r="E146" s="1" t="s">
        <v>18</v>
      </c>
      <c r="F146" s="1" t="s">
        <v>19</v>
      </c>
      <c r="G146" s="1">
        <v>9</v>
      </c>
      <c r="H146" s="1">
        <v>666</v>
      </c>
      <c r="I146" s="5">
        <v>15</v>
      </c>
      <c r="J146" s="1" t="s">
        <v>24</v>
      </c>
      <c r="K146" s="1" t="s">
        <v>25</v>
      </c>
      <c r="L146" s="1">
        <f t="shared" si="11"/>
        <v>5994</v>
      </c>
      <c r="M146" s="1">
        <f t="shared" si="10"/>
        <v>899.1</v>
      </c>
      <c r="N146" s="1">
        <f t="shared" si="12"/>
        <v>5094.8999999999996</v>
      </c>
      <c r="O146" s="1" t="str">
        <f t="shared" si="13"/>
        <v>January</v>
      </c>
      <c r="P146" s="1">
        <f t="shared" si="14"/>
        <v>2026</v>
      </c>
    </row>
    <row r="147" spans="1:16">
      <c r="A147" s="1">
        <v>1160</v>
      </c>
      <c r="B147" s="2">
        <v>46023</v>
      </c>
      <c r="C147" s="1" t="s">
        <v>42</v>
      </c>
      <c r="D147" s="1" t="s">
        <v>17</v>
      </c>
      <c r="E147" s="1" t="s">
        <v>35</v>
      </c>
      <c r="F147" s="1" t="s">
        <v>19</v>
      </c>
      <c r="G147" s="1">
        <v>2</v>
      </c>
      <c r="H147" s="1">
        <v>8906</v>
      </c>
      <c r="I147" s="5">
        <v>5</v>
      </c>
      <c r="J147" s="1" t="s">
        <v>24</v>
      </c>
      <c r="K147" s="1" t="s">
        <v>21</v>
      </c>
      <c r="L147" s="1">
        <f t="shared" si="11"/>
        <v>17812</v>
      </c>
      <c r="M147" s="1">
        <f t="shared" si="10"/>
        <v>890.6</v>
      </c>
      <c r="N147" s="1">
        <f t="shared" si="12"/>
        <v>16921.400000000001</v>
      </c>
      <c r="O147" s="1" t="str">
        <f t="shared" si="13"/>
        <v>January</v>
      </c>
      <c r="P147" s="1">
        <f t="shared" si="14"/>
        <v>2026</v>
      </c>
    </row>
    <row r="148" spans="1:16">
      <c r="A148" s="1">
        <v>1161</v>
      </c>
      <c r="B148" s="2">
        <v>46096</v>
      </c>
      <c r="C148" s="1" t="s">
        <v>36</v>
      </c>
      <c r="D148" s="1" t="s">
        <v>31</v>
      </c>
      <c r="E148" s="1" t="s">
        <v>32</v>
      </c>
      <c r="F148" s="1" t="s">
        <v>28</v>
      </c>
      <c r="G148" s="1">
        <v>7</v>
      </c>
      <c r="H148" s="1">
        <v>706</v>
      </c>
      <c r="I148" s="5">
        <v>0</v>
      </c>
      <c r="J148" s="1" t="s">
        <v>24</v>
      </c>
      <c r="K148" s="1" t="s">
        <v>29</v>
      </c>
      <c r="L148" s="1">
        <f t="shared" si="11"/>
        <v>4942</v>
      </c>
      <c r="M148" s="1">
        <f t="shared" si="10"/>
        <v>0</v>
      </c>
      <c r="N148" s="1">
        <f t="shared" si="12"/>
        <v>4942</v>
      </c>
      <c r="O148" s="1" t="str">
        <f t="shared" si="13"/>
        <v>March</v>
      </c>
      <c r="P148" s="1">
        <f t="shared" si="14"/>
        <v>2026</v>
      </c>
    </row>
    <row r="149" spans="1:16">
      <c r="A149" s="1">
        <v>1162</v>
      </c>
      <c r="B149" s="2">
        <v>46078</v>
      </c>
      <c r="C149" s="1" t="s">
        <v>43</v>
      </c>
      <c r="D149" s="1" t="s">
        <v>31</v>
      </c>
      <c r="E149" s="1" t="s">
        <v>27</v>
      </c>
      <c r="F149" s="1" t="s">
        <v>28</v>
      </c>
      <c r="G149" s="1">
        <v>9</v>
      </c>
      <c r="H149" s="1">
        <v>10364</v>
      </c>
      <c r="I149" s="5">
        <v>0</v>
      </c>
      <c r="J149" s="1" t="s">
        <v>20</v>
      </c>
      <c r="K149" s="1" t="s">
        <v>25</v>
      </c>
      <c r="L149" s="1">
        <f t="shared" si="11"/>
        <v>93276</v>
      </c>
      <c r="M149" s="1">
        <f t="shared" si="10"/>
        <v>0</v>
      </c>
      <c r="N149" s="1">
        <f t="shared" si="12"/>
        <v>93276</v>
      </c>
      <c r="O149" s="1" t="str">
        <f t="shared" si="13"/>
        <v>February</v>
      </c>
      <c r="P149" s="1">
        <f t="shared" si="14"/>
        <v>2026</v>
      </c>
    </row>
    <row r="150" spans="1:16">
      <c r="A150" s="1">
        <v>1163</v>
      </c>
      <c r="B150" s="2">
        <v>46068</v>
      </c>
      <c r="C150" s="1" t="s">
        <v>43</v>
      </c>
      <c r="D150" s="1" t="s">
        <v>31</v>
      </c>
      <c r="E150" s="1" t="s">
        <v>18</v>
      </c>
      <c r="F150" s="1" t="s">
        <v>19</v>
      </c>
      <c r="G150" s="1">
        <v>10</v>
      </c>
      <c r="H150" s="1">
        <v>405</v>
      </c>
      <c r="I150" s="5">
        <v>0</v>
      </c>
      <c r="J150" s="1" t="s">
        <v>24</v>
      </c>
      <c r="K150" s="1" t="s">
        <v>25</v>
      </c>
      <c r="L150" s="1">
        <f t="shared" si="11"/>
        <v>4050</v>
      </c>
      <c r="M150" s="1">
        <f t="shared" si="10"/>
        <v>0</v>
      </c>
      <c r="N150" s="1">
        <f t="shared" si="12"/>
        <v>4050</v>
      </c>
      <c r="O150" s="1" t="str">
        <f t="shared" si="13"/>
        <v>February</v>
      </c>
      <c r="P150" s="1">
        <f t="shared" si="14"/>
        <v>2026</v>
      </c>
    </row>
    <row r="151" spans="1:16">
      <c r="A151" s="1">
        <v>1164</v>
      </c>
      <c r="B151" s="2">
        <v>46081</v>
      </c>
      <c r="C151" s="1" t="s">
        <v>22</v>
      </c>
      <c r="D151" s="1" t="s">
        <v>17</v>
      </c>
      <c r="E151" s="1" t="s">
        <v>35</v>
      </c>
      <c r="F151" s="1" t="s">
        <v>19</v>
      </c>
      <c r="G151" s="1">
        <v>2</v>
      </c>
      <c r="H151" s="1">
        <v>8970</v>
      </c>
      <c r="I151" s="5">
        <v>0</v>
      </c>
      <c r="J151" s="1" t="s">
        <v>20</v>
      </c>
      <c r="K151" s="1" t="s">
        <v>25</v>
      </c>
      <c r="L151" s="1">
        <f t="shared" si="11"/>
        <v>17940</v>
      </c>
      <c r="M151" s="1">
        <f t="shared" si="10"/>
        <v>0</v>
      </c>
      <c r="N151" s="1">
        <f t="shared" si="12"/>
        <v>17940</v>
      </c>
      <c r="O151" s="1" t="str">
        <f t="shared" si="13"/>
        <v>February</v>
      </c>
      <c r="P151" s="1">
        <f t="shared" si="14"/>
        <v>2026</v>
      </c>
    </row>
    <row r="152" spans="1:16">
      <c r="A152" s="1">
        <v>1165</v>
      </c>
      <c r="B152" s="2">
        <v>46029</v>
      </c>
      <c r="C152" s="1" t="s">
        <v>29</v>
      </c>
      <c r="D152" s="1" t="s">
        <v>31</v>
      </c>
      <c r="E152" s="1" t="s">
        <v>32</v>
      </c>
      <c r="F152" s="1" t="s">
        <v>28</v>
      </c>
      <c r="G152" s="1">
        <v>2</v>
      </c>
      <c r="H152" s="1">
        <v>819</v>
      </c>
      <c r="I152" s="5">
        <v>15</v>
      </c>
      <c r="J152" s="1" t="s">
        <v>20</v>
      </c>
      <c r="K152" s="1" t="s">
        <v>21</v>
      </c>
      <c r="L152" s="1">
        <f t="shared" si="11"/>
        <v>1638</v>
      </c>
      <c r="M152" s="1">
        <f t="shared" si="10"/>
        <v>245.7</v>
      </c>
      <c r="N152" s="1">
        <f t="shared" si="12"/>
        <v>1392.3</v>
      </c>
      <c r="O152" s="1" t="str">
        <f t="shared" si="13"/>
        <v>January</v>
      </c>
      <c r="P152" s="1">
        <f t="shared" si="14"/>
        <v>2026</v>
      </c>
    </row>
    <row r="153" spans="1:16">
      <c r="A153" s="1">
        <v>1166</v>
      </c>
      <c r="B153" s="2">
        <v>46059</v>
      </c>
      <c r="C153" s="1" t="s">
        <v>22</v>
      </c>
      <c r="D153" s="1" t="s">
        <v>41</v>
      </c>
      <c r="E153" s="1" t="s">
        <v>32</v>
      </c>
      <c r="F153" s="1" t="s">
        <v>28</v>
      </c>
      <c r="G153" s="1">
        <v>5</v>
      </c>
      <c r="H153" s="1">
        <v>1657</v>
      </c>
      <c r="I153" s="5">
        <v>15</v>
      </c>
      <c r="J153" s="1" t="s">
        <v>20</v>
      </c>
      <c r="K153" s="1" t="s">
        <v>21</v>
      </c>
      <c r="L153" s="1">
        <f t="shared" si="11"/>
        <v>8285</v>
      </c>
      <c r="M153" s="1">
        <f t="shared" si="10"/>
        <v>1242.75</v>
      </c>
      <c r="N153" s="1">
        <f t="shared" si="12"/>
        <v>7042.25</v>
      </c>
      <c r="O153" s="1" t="str">
        <f t="shared" si="13"/>
        <v>February</v>
      </c>
      <c r="P153" s="1">
        <f t="shared" si="14"/>
        <v>2026</v>
      </c>
    </row>
    <row r="154" spans="1:16">
      <c r="A154" s="1">
        <v>1167</v>
      </c>
      <c r="B154" s="2">
        <v>46066</v>
      </c>
      <c r="C154" s="1" t="s">
        <v>21</v>
      </c>
      <c r="D154" s="1" t="s">
        <v>37</v>
      </c>
      <c r="E154" s="1" t="s">
        <v>32</v>
      </c>
      <c r="F154" s="1" t="s">
        <v>28</v>
      </c>
      <c r="G154" s="1">
        <v>9</v>
      </c>
      <c r="H154" s="1">
        <v>1317</v>
      </c>
      <c r="I154" s="5">
        <v>10</v>
      </c>
      <c r="J154" s="1" t="s">
        <v>20</v>
      </c>
      <c r="K154" s="1" t="s">
        <v>25</v>
      </c>
      <c r="L154" s="1">
        <f t="shared" si="11"/>
        <v>11853</v>
      </c>
      <c r="M154" s="1">
        <f t="shared" si="10"/>
        <v>1185.3</v>
      </c>
      <c r="N154" s="1">
        <f t="shared" si="12"/>
        <v>10667.7</v>
      </c>
      <c r="O154" s="1" t="str">
        <f t="shared" si="13"/>
        <v>February</v>
      </c>
      <c r="P154" s="1">
        <f t="shared" si="14"/>
        <v>2026</v>
      </c>
    </row>
    <row r="155" spans="1:16">
      <c r="A155" s="1">
        <v>1168</v>
      </c>
      <c r="B155" s="2">
        <v>46049</v>
      </c>
      <c r="C155" s="1" t="s">
        <v>36</v>
      </c>
      <c r="D155" s="1" t="s">
        <v>17</v>
      </c>
      <c r="E155" s="1" t="s">
        <v>38</v>
      </c>
      <c r="F155" s="1" t="s">
        <v>28</v>
      </c>
      <c r="G155" s="1">
        <v>1</v>
      </c>
      <c r="H155" s="1">
        <v>3274</v>
      </c>
      <c r="I155" s="5">
        <v>0</v>
      </c>
      <c r="J155" s="1" t="s">
        <v>24</v>
      </c>
      <c r="K155" s="1" t="s">
        <v>29</v>
      </c>
      <c r="L155" s="1">
        <f t="shared" si="11"/>
        <v>3274</v>
      </c>
      <c r="M155" s="1">
        <f t="shared" si="10"/>
        <v>0</v>
      </c>
      <c r="N155" s="1">
        <f t="shared" si="12"/>
        <v>3274</v>
      </c>
      <c r="O155" s="1" t="str">
        <f t="shared" si="13"/>
        <v>January</v>
      </c>
      <c r="P155" s="1">
        <f t="shared" si="14"/>
        <v>2026</v>
      </c>
    </row>
    <row r="156" spans="1:16">
      <c r="A156" s="1">
        <v>1169</v>
      </c>
      <c r="B156" s="2">
        <v>46023</v>
      </c>
      <c r="C156" s="1" t="s">
        <v>30</v>
      </c>
      <c r="D156" s="1" t="s">
        <v>31</v>
      </c>
      <c r="E156" s="1" t="s">
        <v>35</v>
      </c>
      <c r="F156" s="1" t="s">
        <v>19</v>
      </c>
      <c r="G156" s="1">
        <v>4</v>
      </c>
      <c r="H156" s="1">
        <v>9362</v>
      </c>
      <c r="I156" s="5">
        <v>10</v>
      </c>
      <c r="J156" s="1" t="s">
        <v>24</v>
      </c>
      <c r="K156" s="1" t="s">
        <v>25</v>
      </c>
      <c r="L156" s="1">
        <f t="shared" si="11"/>
        <v>37448</v>
      </c>
      <c r="M156" s="1">
        <f t="shared" si="10"/>
        <v>3744.8</v>
      </c>
      <c r="N156" s="1">
        <f t="shared" si="12"/>
        <v>33703.199999999997</v>
      </c>
      <c r="O156" s="1" t="str">
        <f t="shared" si="13"/>
        <v>January</v>
      </c>
      <c r="P156" s="1">
        <f t="shared" si="14"/>
        <v>2026</v>
      </c>
    </row>
    <row r="157" spans="1:16">
      <c r="A157" s="1">
        <v>1170</v>
      </c>
      <c r="B157" s="2">
        <v>46087</v>
      </c>
      <c r="C157" s="1" t="s">
        <v>16</v>
      </c>
      <c r="D157" s="1" t="s">
        <v>31</v>
      </c>
      <c r="E157" s="1" t="s">
        <v>27</v>
      </c>
      <c r="F157" s="1" t="s">
        <v>28</v>
      </c>
      <c r="G157" s="1">
        <v>10</v>
      </c>
      <c r="H157" s="1">
        <v>9770</v>
      </c>
      <c r="I157" s="5">
        <v>5</v>
      </c>
      <c r="J157" s="1" t="s">
        <v>20</v>
      </c>
      <c r="K157" s="1" t="s">
        <v>21</v>
      </c>
      <c r="L157" s="1">
        <f t="shared" si="11"/>
        <v>97700</v>
      </c>
      <c r="M157" s="1">
        <f t="shared" si="10"/>
        <v>4885</v>
      </c>
      <c r="N157" s="1">
        <f t="shared" si="12"/>
        <v>92815</v>
      </c>
      <c r="O157" s="1" t="str">
        <f t="shared" si="13"/>
        <v>March</v>
      </c>
      <c r="P157" s="1">
        <f t="shared" si="14"/>
        <v>2026</v>
      </c>
    </row>
    <row r="158" spans="1:16">
      <c r="A158" s="1">
        <v>1171</v>
      </c>
      <c r="B158" s="2">
        <v>46108</v>
      </c>
      <c r="C158" s="1" t="s">
        <v>42</v>
      </c>
      <c r="D158" s="1" t="s">
        <v>45</v>
      </c>
      <c r="E158" s="1" t="s">
        <v>23</v>
      </c>
      <c r="F158" s="1" t="s">
        <v>19</v>
      </c>
      <c r="G158" s="1">
        <v>10</v>
      </c>
      <c r="H158" s="1">
        <v>634</v>
      </c>
      <c r="I158" s="5">
        <v>0</v>
      </c>
      <c r="J158" s="1" t="s">
        <v>24</v>
      </c>
      <c r="K158" s="1" t="s">
        <v>29</v>
      </c>
      <c r="L158" s="1">
        <f t="shared" si="11"/>
        <v>6340</v>
      </c>
      <c r="M158" s="1">
        <f t="shared" si="10"/>
        <v>0</v>
      </c>
      <c r="N158" s="1">
        <f t="shared" si="12"/>
        <v>6340</v>
      </c>
      <c r="O158" s="1" t="str">
        <f t="shared" si="13"/>
        <v>March</v>
      </c>
      <c r="P158" s="1">
        <f t="shared" si="14"/>
        <v>2026</v>
      </c>
    </row>
    <row r="159" spans="1:16">
      <c r="A159" s="1">
        <v>1172</v>
      </c>
      <c r="B159" s="2">
        <v>46048</v>
      </c>
      <c r="C159" s="1" t="s">
        <v>30</v>
      </c>
      <c r="D159" s="1" t="s">
        <v>31</v>
      </c>
      <c r="E159" s="1" t="s">
        <v>44</v>
      </c>
      <c r="F159" s="1" t="s">
        <v>19</v>
      </c>
      <c r="G159" s="1">
        <v>2</v>
      </c>
      <c r="H159" s="1">
        <v>6941</v>
      </c>
      <c r="I159" s="5">
        <v>5</v>
      </c>
      <c r="J159" s="1" t="s">
        <v>24</v>
      </c>
      <c r="K159" s="1" t="s">
        <v>29</v>
      </c>
      <c r="L159" s="1">
        <f t="shared" si="11"/>
        <v>13882</v>
      </c>
      <c r="M159" s="1">
        <f t="shared" si="10"/>
        <v>694.1</v>
      </c>
      <c r="N159" s="1">
        <f t="shared" si="12"/>
        <v>13187.9</v>
      </c>
      <c r="O159" s="1" t="str">
        <f t="shared" si="13"/>
        <v>January</v>
      </c>
      <c r="P159" s="1">
        <f t="shared" si="14"/>
        <v>2026</v>
      </c>
    </row>
    <row r="160" spans="1:16">
      <c r="A160" s="1">
        <v>1173</v>
      </c>
      <c r="B160" s="2">
        <v>46090</v>
      </c>
      <c r="C160" s="1" t="s">
        <v>40</v>
      </c>
      <c r="D160" s="1" t="s">
        <v>31</v>
      </c>
      <c r="E160" s="1" t="s">
        <v>35</v>
      </c>
      <c r="F160" s="1" t="s">
        <v>19</v>
      </c>
      <c r="G160" s="1">
        <v>4</v>
      </c>
      <c r="H160" s="1">
        <v>9186</v>
      </c>
      <c r="I160" s="5">
        <v>10</v>
      </c>
      <c r="J160" s="1" t="s">
        <v>24</v>
      </c>
      <c r="K160" s="1" t="s">
        <v>25</v>
      </c>
      <c r="L160" s="1">
        <f t="shared" si="11"/>
        <v>36744</v>
      </c>
      <c r="M160" s="1">
        <f t="shared" si="10"/>
        <v>3674.4</v>
      </c>
      <c r="N160" s="1">
        <f t="shared" si="12"/>
        <v>33069.599999999999</v>
      </c>
      <c r="O160" s="1" t="str">
        <f t="shared" si="13"/>
        <v>March</v>
      </c>
      <c r="P160" s="1">
        <f t="shared" si="14"/>
        <v>2026</v>
      </c>
    </row>
    <row r="161" spans="1:16">
      <c r="A161" s="1">
        <v>1174</v>
      </c>
      <c r="B161" s="2">
        <v>46078</v>
      </c>
      <c r="C161" s="1" t="s">
        <v>39</v>
      </c>
      <c r="D161" s="1" t="s">
        <v>17</v>
      </c>
      <c r="E161" s="1" t="s">
        <v>34</v>
      </c>
      <c r="F161" s="1" t="s">
        <v>19</v>
      </c>
      <c r="G161" s="1">
        <v>1</v>
      </c>
      <c r="H161" s="1">
        <v>14923</v>
      </c>
      <c r="I161" s="5">
        <v>0</v>
      </c>
      <c r="J161" s="1" t="s">
        <v>24</v>
      </c>
      <c r="K161" s="1" t="s">
        <v>29</v>
      </c>
      <c r="L161" s="1">
        <f t="shared" si="11"/>
        <v>14923</v>
      </c>
      <c r="M161" s="1">
        <f t="shared" si="10"/>
        <v>0</v>
      </c>
      <c r="N161" s="1">
        <f t="shared" si="12"/>
        <v>14923</v>
      </c>
      <c r="O161" s="1" t="str">
        <f t="shared" si="13"/>
        <v>February</v>
      </c>
      <c r="P161" s="1">
        <f t="shared" si="14"/>
        <v>2026</v>
      </c>
    </row>
    <row r="162" spans="1:16">
      <c r="A162" s="1">
        <v>1175</v>
      </c>
      <c r="B162" s="2">
        <v>46062</v>
      </c>
      <c r="C162" s="1" t="s">
        <v>30</v>
      </c>
      <c r="D162" s="1" t="s">
        <v>41</v>
      </c>
      <c r="E162" s="1" t="s">
        <v>44</v>
      </c>
      <c r="F162" s="1" t="s">
        <v>19</v>
      </c>
      <c r="G162" s="1">
        <v>7</v>
      </c>
      <c r="H162" s="1">
        <v>7336</v>
      </c>
      <c r="I162" s="5">
        <v>0</v>
      </c>
      <c r="J162" s="1" t="s">
        <v>20</v>
      </c>
      <c r="K162" s="1" t="s">
        <v>29</v>
      </c>
      <c r="L162" s="1">
        <f t="shared" si="11"/>
        <v>51352</v>
      </c>
      <c r="M162" s="1">
        <f t="shared" si="10"/>
        <v>0</v>
      </c>
      <c r="N162" s="1">
        <f t="shared" si="12"/>
        <v>51352</v>
      </c>
      <c r="O162" s="1" t="str">
        <f t="shared" si="13"/>
        <v>February</v>
      </c>
      <c r="P162" s="1">
        <f t="shared" si="14"/>
        <v>2026</v>
      </c>
    </row>
    <row r="163" spans="1:16">
      <c r="A163" s="1">
        <v>1176</v>
      </c>
      <c r="B163" s="2">
        <v>46089</v>
      </c>
      <c r="C163" s="1" t="s">
        <v>33</v>
      </c>
      <c r="D163" s="1" t="s">
        <v>17</v>
      </c>
      <c r="E163" s="1" t="s">
        <v>38</v>
      </c>
      <c r="F163" s="1" t="s">
        <v>28</v>
      </c>
      <c r="G163" s="1">
        <v>9</v>
      </c>
      <c r="H163" s="1">
        <v>3625</v>
      </c>
      <c r="I163" s="5">
        <v>0</v>
      </c>
      <c r="J163" s="1" t="s">
        <v>24</v>
      </c>
      <c r="K163" s="1" t="s">
        <v>25</v>
      </c>
      <c r="L163" s="1">
        <f t="shared" si="11"/>
        <v>32625</v>
      </c>
      <c r="M163" s="1">
        <f t="shared" si="10"/>
        <v>0</v>
      </c>
      <c r="N163" s="1">
        <f t="shared" si="12"/>
        <v>32625</v>
      </c>
      <c r="O163" s="1" t="str">
        <f t="shared" si="13"/>
        <v>March</v>
      </c>
      <c r="P163" s="1">
        <f t="shared" si="14"/>
        <v>2026</v>
      </c>
    </row>
    <row r="164" spans="1:16">
      <c r="A164" s="1">
        <v>1177</v>
      </c>
      <c r="B164" s="2">
        <v>46062</v>
      </c>
      <c r="C164" s="1" t="s">
        <v>36</v>
      </c>
      <c r="D164" s="1" t="s">
        <v>17</v>
      </c>
      <c r="E164" s="1" t="s">
        <v>38</v>
      </c>
      <c r="F164" s="1" t="s">
        <v>28</v>
      </c>
      <c r="G164" s="1">
        <v>4</v>
      </c>
      <c r="H164" s="1">
        <v>3128</v>
      </c>
      <c r="I164" s="5">
        <v>15</v>
      </c>
      <c r="J164" s="1" t="s">
        <v>24</v>
      </c>
      <c r="K164" s="1" t="s">
        <v>25</v>
      </c>
      <c r="L164" s="1">
        <f t="shared" si="11"/>
        <v>12512</v>
      </c>
      <c r="M164" s="1">
        <f t="shared" si="10"/>
        <v>1876.8</v>
      </c>
      <c r="N164" s="1">
        <f t="shared" si="12"/>
        <v>10635.2</v>
      </c>
      <c r="O164" s="1" t="str">
        <f t="shared" si="13"/>
        <v>February</v>
      </c>
      <c r="P164" s="1">
        <f t="shared" si="14"/>
        <v>2026</v>
      </c>
    </row>
    <row r="165" spans="1:16">
      <c r="A165" s="1">
        <v>1178</v>
      </c>
      <c r="B165" s="2">
        <v>46058</v>
      </c>
      <c r="C165" s="1" t="s">
        <v>42</v>
      </c>
      <c r="D165" s="1" t="s">
        <v>37</v>
      </c>
      <c r="E165" s="1" t="s">
        <v>34</v>
      </c>
      <c r="F165" s="1" t="s">
        <v>19</v>
      </c>
      <c r="G165" s="1">
        <v>1</v>
      </c>
      <c r="H165" s="1">
        <v>14786</v>
      </c>
      <c r="I165" s="5">
        <v>5</v>
      </c>
      <c r="J165" s="1" t="s">
        <v>20</v>
      </c>
      <c r="K165" s="1" t="s">
        <v>29</v>
      </c>
      <c r="L165" s="1">
        <f t="shared" si="11"/>
        <v>14786</v>
      </c>
      <c r="M165" s="1">
        <f t="shared" si="10"/>
        <v>739.30000000000007</v>
      </c>
      <c r="N165" s="1">
        <f t="shared" si="12"/>
        <v>14046.7</v>
      </c>
      <c r="O165" s="1" t="str">
        <f t="shared" si="13"/>
        <v>February</v>
      </c>
      <c r="P165" s="1">
        <f t="shared" si="14"/>
        <v>2026</v>
      </c>
    </row>
    <row r="166" spans="1:16">
      <c r="A166" s="1">
        <v>1179</v>
      </c>
      <c r="B166" s="2">
        <v>46056</v>
      </c>
      <c r="C166" s="1" t="s">
        <v>39</v>
      </c>
      <c r="D166" s="1" t="s">
        <v>37</v>
      </c>
      <c r="E166" s="1" t="s">
        <v>35</v>
      </c>
      <c r="F166" s="1" t="s">
        <v>19</v>
      </c>
      <c r="G166" s="1">
        <v>5</v>
      </c>
      <c r="H166" s="1">
        <v>8897</v>
      </c>
      <c r="I166" s="5">
        <v>15</v>
      </c>
      <c r="J166" s="1" t="s">
        <v>24</v>
      </c>
      <c r="K166" s="1" t="s">
        <v>29</v>
      </c>
      <c r="L166" s="1">
        <f t="shared" si="11"/>
        <v>44485</v>
      </c>
      <c r="M166" s="1">
        <f t="shared" si="10"/>
        <v>6672.75</v>
      </c>
      <c r="N166" s="1">
        <f t="shared" si="12"/>
        <v>37812.25</v>
      </c>
      <c r="O166" s="1" t="str">
        <f t="shared" si="13"/>
        <v>February</v>
      </c>
      <c r="P166" s="1">
        <f t="shared" si="14"/>
        <v>2026</v>
      </c>
    </row>
    <row r="167" spans="1:16">
      <c r="A167" s="1">
        <v>1180</v>
      </c>
      <c r="B167" s="2">
        <v>46075</v>
      </c>
      <c r="C167" s="1" t="s">
        <v>30</v>
      </c>
      <c r="D167" s="1" t="s">
        <v>37</v>
      </c>
      <c r="E167" s="1" t="s">
        <v>35</v>
      </c>
      <c r="F167" s="1" t="s">
        <v>19</v>
      </c>
      <c r="G167" s="1">
        <v>7</v>
      </c>
      <c r="H167" s="1">
        <v>8526</v>
      </c>
      <c r="I167" s="5">
        <v>0</v>
      </c>
      <c r="J167" s="1" t="s">
        <v>24</v>
      </c>
      <c r="K167" s="1" t="s">
        <v>29</v>
      </c>
      <c r="L167" s="1">
        <f t="shared" si="11"/>
        <v>59682</v>
      </c>
      <c r="M167" s="1">
        <f t="shared" si="10"/>
        <v>0</v>
      </c>
      <c r="N167" s="1">
        <f t="shared" si="12"/>
        <v>59682</v>
      </c>
      <c r="O167" s="1" t="str">
        <f t="shared" si="13"/>
        <v>February</v>
      </c>
      <c r="P167" s="1">
        <f t="shared" si="14"/>
        <v>2026</v>
      </c>
    </row>
    <row r="168" spans="1:16">
      <c r="A168" s="1">
        <v>1181</v>
      </c>
      <c r="B168" s="2">
        <v>46083</v>
      </c>
      <c r="C168" s="1" t="s">
        <v>22</v>
      </c>
      <c r="D168" s="1" t="s">
        <v>37</v>
      </c>
      <c r="E168" s="1" t="s">
        <v>44</v>
      </c>
      <c r="F168" s="1" t="s">
        <v>19</v>
      </c>
      <c r="G168" s="1">
        <v>7</v>
      </c>
      <c r="H168" s="1">
        <v>7424</v>
      </c>
      <c r="I168" s="5">
        <v>10</v>
      </c>
      <c r="J168" s="1" t="s">
        <v>24</v>
      </c>
      <c r="K168" s="1" t="s">
        <v>21</v>
      </c>
      <c r="L168" s="1">
        <f t="shared" si="11"/>
        <v>51968</v>
      </c>
      <c r="M168" s="1">
        <f t="shared" si="10"/>
        <v>5196.8</v>
      </c>
      <c r="N168" s="1">
        <f t="shared" si="12"/>
        <v>46771.199999999997</v>
      </c>
      <c r="O168" s="1" t="str">
        <f t="shared" si="13"/>
        <v>March</v>
      </c>
      <c r="P168" s="1">
        <f t="shared" si="14"/>
        <v>2026</v>
      </c>
    </row>
    <row r="169" spans="1:16">
      <c r="A169" s="1">
        <v>1182</v>
      </c>
      <c r="B169" s="2">
        <v>46078</v>
      </c>
      <c r="C169" s="1" t="s">
        <v>39</v>
      </c>
      <c r="D169" s="1" t="s">
        <v>45</v>
      </c>
      <c r="E169" s="1" t="s">
        <v>23</v>
      </c>
      <c r="F169" s="1" t="s">
        <v>19</v>
      </c>
      <c r="G169" s="1">
        <v>2</v>
      </c>
      <c r="H169" s="1">
        <v>1246</v>
      </c>
      <c r="I169" s="5">
        <v>5</v>
      </c>
      <c r="J169" s="1" t="s">
        <v>24</v>
      </c>
      <c r="K169" s="1" t="s">
        <v>21</v>
      </c>
      <c r="L169" s="1">
        <f t="shared" si="11"/>
        <v>2492</v>
      </c>
      <c r="M169" s="1">
        <f t="shared" si="10"/>
        <v>124.60000000000001</v>
      </c>
      <c r="N169" s="1">
        <f t="shared" si="12"/>
        <v>2367.4</v>
      </c>
      <c r="O169" s="1" t="str">
        <f t="shared" si="13"/>
        <v>February</v>
      </c>
      <c r="P169" s="1">
        <f t="shared" si="14"/>
        <v>2026</v>
      </c>
    </row>
    <row r="170" spans="1:16">
      <c r="A170" s="1">
        <v>1186</v>
      </c>
      <c r="B170" s="2">
        <v>46103</v>
      </c>
      <c r="C170" s="1" t="s">
        <v>21</v>
      </c>
      <c r="D170" s="1" t="s">
        <v>37</v>
      </c>
      <c r="E170" s="1" t="s">
        <v>35</v>
      </c>
      <c r="F170" s="1" t="s">
        <v>19</v>
      </c>
      <c r="G170" s="1">
        <v>10</v>
      </c>
      <c r="H170" s="1">
        <v>9095</v>
      </c>
      <c r="I170" s="5">
        <v>10</v>
      </c>
      <c r="J170" s="1" t="s">
        <v>20</v>
      </c>
      <c r="K170" s="1" t="s">
        <v>21</v>
      </c>
      <c r="L170" s="1">
        <f t="shared" si="11"/>
        <v>90950</v>
      </c>
      <c r="M170" s="1">
        <f t="shared" si="10"/>
        <v>9095</v>
      </c>
      <c r="N170" s="1">
        <f t="shared" si="12"/>
        <v>81855</v>
      </c>
      <c r="O170" s="1" t="str">
        <f t="shared" si="13"/>
        <v>March</v>
      </c>
      <c r="P170" s="1">
        <f t="shared" si="14"/>
        <v>2026</v>
      </c>
    </row>
    <row r="171" spans="1:16">
      <c r="A171" s="1">
        <v>1187</v>
      </c>
      <c r="B171" s="2">
        <v>46071</v>
      </c>
      <c r="C171" s="1" t="s">
        <v>42</v>
      </c>
      <c r="D171" s="1" t="s">
        <v>17</v>
      </c>
      <c r="E171" s="1" t="s">
        <v>38</v>
      </c>
      <c r="F171" s="1" t="s">
        <v>28</v>
      </c>
      <c r="G171" s="1">
        <v>1</v>
      </c>
      <c r="H171" s="1">
        <v>3629</v>
      </c>
      <c r="I171" s="5">
        <v>15</v>
      </c>
      <c r="J171" s="1" t="s">
        <v>24</v>
      </c>
      <c r="K171" s="1" t="s">
        <v>21</v>
      </c>
      <c r="L171" s="1">
        <f t="shared" si="11"/>
        <v>3629</v>
      </c>
      <c r="M171" s="1">
        <f t="shared" si="10"/>
        <v>544.35</v>
      </c>
      <c r="N171" s="1">
        <f t="shared" si="12"/>
        <v>3084.65</v>
      </c>
      <c r="O171" s="1" t="str">
        <f t="shared" si="13"/>
        <v>February</v>
      </c>
      <c r="P171" s="1">
        <f t="shared" si="14"/>
        <v>2026</v>
      </c>
    </row>
    <row r="172" spans="1:16">
      <c r="A172" s="1">
        <v>1188</v>
      </c>
      <c r="B172" s="2">
        <v>46059</v>
      </c>
      <c r="C172" s="1" t="s">
        <v>36</v>
      </c>
      <c r="D172" s="1" t="s">
        <v>41</v>
      </c>
      <c r="E172" s="1" t="s">
        <v>44</v>
      </c>
      <c r="F172" s="1" t="s">
        <v>19</v>
      </c>
      <c r="G172" s="1">
        <v>8</v>
      </c>
      <c r="H172" s="1">
        <v>6963</v>
      </c>
      <c r="I172" s="5">
        <v>0</v>
      </c>
      <c r="J172" s="1" t="s">
        <v>20</v>
      </c>
      <c r="K172" s="1" t="s">
        <v>29</v>
      </c>
      <c r="L172" s="1">
        <f t="shared" si="11"/>
        <v>55704</v>
      </c>
      <c r="M172" s="1">
        <f t="shared" si="10"/>
        <v>0</v>
      </c>
      <c r="N172" s="1">
        <f t="shared" si="12"/>
        <v>55704</v>
      </c>
      <c r="O172" s="1" t="str">
        <f t="shared" si="13"/>
        <v>February</v>
      </c>
      <c r="P172" s="1">
        <f t="shared" si="14"/>
        <v>2026</v>
      </c>
    </row>
    <row r="173" spans="1:16">
      <c r="A173" s="1">
        <v>1189</v>
      </c>
      <c r="B173" s="2">
        <v>46025</v>
      </c>
      <c r="C173" s="1" t="s">
        <v>33</v>
      </c>
      <c r="D173" s="1" t="s">
        <v>37</v>
      </c>
      <c r="E173" s="1" t="s">
        <v>18</v>
      </c>
      <c r="F173" s="1" t="s">
        <v>19</v>
      </c>
      <c r="G173" s="1">
        <v>3</v>
      </c>
      <c r="H173" s="1">
        <v>368</v>
      </c>
      <c r="I173" s="5">
        <v>0</v>
      </c>
      <c r="J173" s="1" t="s">
        <v>24</v>
      </c>
      <c r="K173" s="1" t="s">
        <v>29</v>
      </c>
      <c r="L173" s="1">
        <f t="shared" si="11"/>
        <v>1104</v>
      </c>
      <c r="M173" s="1">
        <f t="shared" si="10"/>
        <v>0</v>
      </c>
      <c r="N173" s="1">
        <f t="shared" si="12"/>
        <v>1104</v>
      </c>
      <c r="O173" s="1" t="str">
        <f t="shared" si="13"/>
        <v>January</v>
      </c>
      <c r="P173" s="1">
        <f t="shared" si="14"/>
        <v>2026</v>
      </c>
    </row>
    <row r="174" spans="1:16">
      <c r="A174" s="1">
        <v>1190</v>
      </c>
      <c r="B174" s="2">
        <v>46041</v>
      </c>
      <c r="C174" s="1" t="s">
        <v>29</v>
      </c>
      <c r="D174" s="1" t="s">
        <v>45</v>
      </c>
      <c r="E174" s="1" t="s">
        <v>38</v>
      </c>
      <c r="F174" s="1" t="s">
        <v>28</v>
      </c>
      <c r="G174" s="1">
        <v>3</v>
      </c>
      <c r="H174" s="1">
        <v>3506</v>
      </c>
      <c r="I174" s="5">
        <v>10</v>
      </c>
      <c r="J174" s="1" t="s">
        <v>20</v>
      </c>
      <c r="K174" s="1" t="s">
        <v>25</v>
      </c>
      <c r="L174" s="1">
        <f t="shared" si="11"/>
        <v>10518</v>
      </c>
      <c r="M174" s="1">
        <f t="shared" si="10"/>
        <v>1051.8</v>
      </c>
      <c r="N174" s="1">
        <f t="shared" si="12"/>
        <v>9466.2000000000007</v>
      </c>
      <c r="O174" s="1" t="str">
        <f t="shared" si="13"/>
        <v>January</v>
      </c>
      <c r="P174" s="1">
        <f t="shared" si="14"/>
        <v>2026</v>
      </c>
    </row>
    <row r="175" spans="1:16">
      <c r="A175" s="1">
        <v>1191</v>
      </c>
      <c r="B175" s="2">
        <v>46108</v>
      </c>
      <c r="C175" s="1" t="s">
        <v>26</v>
      </c>
      <c r="D175" s="1" t="s">
        <v>37</v>
      </c>
      <c r="E175" s="1" t="s">
        <v>35</v>
      </c>
      <c r="F175" s="1" t="s">
        <v>19</v>
      </c>
      <c r="G175" s="1">
        <v>3</v>
      </c>
      <c r="H175" s="1">
        <v>8553</v>
      </c>
      <c r="I175" s="5">
        <v>5</v>
      </c>
      <c r="J175" s="1" t="s">
        <v>20</v>
      </c>
      <c r="K175" s="1" t="s">
        <v>25</v>
      </c>
      <c r="L175" s="1">
        <f t="shared" si="11"/>
        <v>25659</v>
      </c>
      <c r="M175" s="1">
        <f t="shared" si="10"/>
        <v>1282.95</v>
      </c>
      <c r="N175" s="1">
        <f t="shared" si="12"/>
        <v>24376.05</v>
      </c>
      <c r="O175" s="1" t="str">
        <f t="shared" si="13"/>
        <v>March</v>
      </c>
      <c r="P175" s="1">
        <f t="shared" si="14"/>
        <v>2026</v>
      </c>
    </row>
    <row r="176" spans="1:16">
      <c r="A176" s="1">
        <v>1192</v>
      </c>
      <c r="B176" s="2">
        <v>46096</v>
      </c>
      <c r="C176" s="1" t="s">
        <v>43</v>
      </c>
      <c r="D176" s="1" t="s">
        <v>31</v>
      </c>
      <c r="E176" s="1" t="s">
        <v>44</v>
      </c>
      <c r="F176" s="1" t="s">
        <v>19</v>
      </c>
      <c r="G176" s="1">
        <v>10</v>
      </c>
      <c r="H176" s="1">
        <v>6548</v>
      </c>
      <c r="I176" s="5">
        <v>15</v>
      </c>
      <c r="J176" s="1" t="s">
        <v>24</v>
      </c>
      <c r="K176" s="1" t="s">
        <v>25</v>
      </c>
      <c r="L176" s="1">
        <f t="shared" si="11"/>
        <v>65480</v>
      </c>
      <c r="M176" s="1">
        <f t="shared" si="10"/>
        <v>9822</v>
      </c>
      <c r="N176" s="1">
        <f t="shared" si="12"/>
        <v>55658</v>
      </c>
      <c r="O176" s="1" t="str">
        <f t="shared" si="13"/>
        <v>March</v>
      </c>
      <c r="P176" s="1">
        <f t="shared" si="14"/>
        <v>2026</v>
      </c>
    </row>
    <row r="177" spans="1:16">
      <c r="A177" s="1">
        <v>1193</v>
      </c>
      <c r="B177" s="2">
        <v>46073</v>
      </c>
      <c r="C177" s="1" t="s">
        <v>39</v>
      </c>
      <c r="D177" s="1" t="s">
        <v>31</v>
      </c>
      <c r="E177" s="1" t="s">
        <v>38</v>
      </c>
      <c r="F177" s="1" t="s">
        <v>28</v>
      </c>
      <c r="G177" s="1">
        <v>9</v>
      </c>
      <c r="H177" s="1">
        <v>3112</v>
      </c>
      <c r="I177" s="5">
        <v>0</v>
      </c>
      <c r="J177" s="1" t="s">
        <v>20</v>
      </c>
      <c r="K177" s="1" t="s">
        <v>25</v>
      </c>
      <c r="L177" s="1">
        <f t="shared" si="11"/>
        <v>28008</v>
      </c>
      <c r="M177" s="1">
        <f t="shared" si="10"/>
        <v>0</v>
      </c>
      <c r="N177" s="1">
        <f t="shared" si="12"/>
        <v>28008</v>
      </c>
      <c r="O177" s="1" t="str">
        <f t="shared" si="13"/>
        <v>February</v>
      </c>
      <c r="P177" s="1">
        <f t="shared" si="14"/>
        <v>2026</v>
      </c>
    </row>
    <row r="178" spans="1:16">
      <c r="A178" s="1">
        <v>1194</v>
      </c>
      <c r="B178" s="2">
        <v>46051</v>
      </c>
      <c r="C178" s="1" t="s">
        <v>29</v>
      </c>
      <c r="D178" s="1" t="s">
        <v>37</v>
      </c>
      <c r="E178" s="1" t="s">
        <v>27</v>
      </c>
      <c r="F178" s="1" t="s">
        <v>28</v>
      </c>
      <c r="G178" s="1">
        <v>10</v>
      </c>
      <c r="H178" s="1">
        <v>10387</v>
      </c>
      <c r="I178" s="5">
        <v>0</v>
      </c>
      <c r="J178" s="1" t="s">
        <v>20</v>
      </c>
      <c r="K178" s="1" t="s">
        <v>29</v>
      </c>
      <c r="L178" s="1">
        <f t="shared" si="11"/>
        <v>103870</v>
      </c>
      <c r="M178" s="1">
        <f t="shared" si="10"/>
        <v>0</v>
      </c>
      <c r="N178" s="1">
        <f t="shared" si="12"/>
        <v>103870</v>
      </c>
      <c r="O178" s="1" t="str">
        <f t="shared" si="13"/>
        <v>January</v>
      </c>
      <c r="P178" s="1">
        <f t="shared" si="14"/>
        <v>2026</v>
      </c>
    </row>
    <row r="179" spans="1:16">
      <c r="A179" s="1">
        <v>1195</v>
      </c>
      <c r="B179" s="2">
        <v>46054</v>
      </c>
      <c r="C179" s="1" t="s">
        <v>43</v>
      </c>
      <c r="D179" s="1" t="s">
        <v>17</v>
      </c>
      <c r="E179" s="1" t="s">
        <v>35</v>
      </c>
      <c r="F179" s="1" t="s">
        <v>19</v>
      </c>
      <c r="G179" s="1">
        <v>10</v>
      </c>
      <c r="H179" s="1">
        <v>8714</v>
      </c>
      <c r="I179" s="5">
        <v>5</v>
      </c>
      <c r="J179" s="1" t="s">
        <v>20</v>
      </c>
      <c r="K179" s="1" t="s">
        <v>25</v>
      </c>
      <c r="L179" s="1">
        <f t="shared" si="11"/>
        <v>87140</v>
      </c>
      <c r="M179" s="1">
        <f t="shared" si="10"/>
        <v>4357</v>
      </c>
      <c r="N179" s="1">
        <f t="shared" si="12"/>
        <v>82783</v>
      </c>
      <c r="O179" s="1" t="str">
        <f t="shared" si="13"/>
        <v>February</v>
      </c>
      <c r="P179" s="1">
        <f t="shared" si="14"/>
        <v>2026</v>
      </c>
    </row>
    <row r="180" spans="1:16">
      <c r="A180" s="1">
        <v>1196</v>
      </c>
      <c r="B180" s="2">
        <v>46100</v>
      </c>
      <c r="C180" s="1" t="s">
        <v>36</v>
      </c>
      <c r="D180" s="1" t="s">
        <v>31</v>
      </c>
      <c r="E180" s="1" t="s">
        <v>27</v>
      </c>
      <c r="F180" s="1" t="s">
        <v>28</v>
      </c>
      <c r="G180" s="1">
        <v>7</v>
      </c>
      <c r="H180" s="1">
        <v>9827</v>
      </c>
      <c r="I180" s="5">
        <v>10</v>
      </c>
      <c r="J180" s="1" t="s">
        <v>24</v>
      </c>
      <c r="K180" s="1" t="s">
        <v>25</v>
      </c>
      <c r="L180" s="1">
        <f t="shared" si="11"/>
        <v>68789</v>
      </c>
      <c r="M180" s="1">
        <f t="shared" si="10"/>
        <v>6878.9000000000005</v>
      </c>
      <c r="N180" s="1">
        <f t="shared" si="12"/>
        <v>61910.1</v>
      </c>
      <c r="O180" s="1" t="str">
        <f t="shared" si="13"/>
        <v>March</v>
      </c>
      <c r="P180" s="1">
        <f t="shared" si="14"/>
        <v>2026</v>
      </c>
    </row>
    <row r="181" spans="1:16">
      <c r="A181" s="1">
        <v>1197</v>
      </c>
      <c r="B181" s="2">
        <v>46077</v>
      </c>
      <c r="C181" s="1" t="s">
        <v>30</v>
      </c>
      <c r="D181" s="1" t="s">
        <v>41</v>
      </c>
      <c r="E181" s="1" t="s">
        <v>23</v>
      </c>
      <c r="F181" s="1" t="s">
        <v>19</v>
      </c>
      <c r="G181" s="1">
        <v>9</v>
      </c>
      <c r="H181" s="1">
        <v>472</v>
      </c>
      <c r="I181" s="5">
        <v>10</v>
      </c>
      <c r="J181" s="1" t="s">
        <v>24</v>
      </c>
      <c r="K181" s="1" t="s">
        <v>21</v>
      </c>
      <c r="L181" s="1">
        <f t="shared" si="11"/>
        <v>4248</v>
      </c>
      <c r="M181" s="1">
        <f t="shared" si="10"/>
        <v>424.8</v>
      </c>
      <c r="N181" s="1">
        <f t="shared" si="12"/>
        <v>3823.2</v>
      </c>
      <c r="O181" s="1" t="str">
        <f t="shared" si="13"/>
        <v>February</v>
      </c>
      <c r="P181" s="1">
        <f t="shared" si="14"/>
        <v>2026</v>
      </c>
    </row>
    <row r="182" spans="1:16">
      <c r="A182" s="1">
        <v>1198</v>
      </c>
      <c r="B182" s="2">
        <v>46106</v>
      </c>
      <c r="C182" s="1" t="s">
        <v>33</v>
      </c>
      <c r="D182" s="1" t="s">
        <v>41</v>
      </c>
      <c r="E182" s="1" t="s">
        <v>27</v>
      </c>
      <c r="F182" s="1" t="s">
        <v>28</v>
      </c>
      <c r="G182" s="1">
        <v>8</v>
      </c>
      <c r="H182" s="1">
        <v>9768</v>
      </c>
      <c r="I182" s="5">
        <v>10</v>
      </c>
      <c r="J182" s="1" t="s">
        <v>20</v>
      </c>
      <c r="K182" s="1" t="s">
        <v>29</v>
      </c>
      <c r="L182" s="1">
        <f t="shared" si="11"/>
        <v>78144</v>
      </c>
      <c r="M182" s="1">
        <f t="shared" si="10"/>
        <v>7814.4000000000005</v>
      </c>
      <c r="N182" s="1">
        <f t="shared" si="12"/>
        <v>70329.600000000006</v>
      </c>
      <c r="O182" s="1" t="str">
        <f t="shared" si="13"/>
        <v>March</v>
      </c>
      <c r="P182" s="1">
        <f t="shared" si="14"/>
        <v>2026</v>
      </c>
    </row>
    <row r="183" spans="1:16">
      <c r="A183" s="1">
        <v>1199</v>
      </c>
      <c r="B183" s="2">
        <v>46062</v>
      </c>
      <c r="C183" s="1" t="s">
        <v>29</v>
      </c>
      <c r="D183" s="1" t="s">
        <v>17</v>
      </c>
      <c r="E183" s="1" t="s">
        <v>23</v>
      </c>
      <c r="F183" s="1" t="s">
        <v>19</v>
      </c>
      <c r="G183" s="1">
        <v>5</v>
      </c>
      <c r="H183" s="1">
        <v>769</v>
      </c>
      <c r="I183" s="5">
        <v>5</v>
      </c>
      <c r="J183" s="1" t="s">
        <v>20</v>
      </c>
      <c r="K183" s="1" t="s">
        <v>29</v>
      </c>
      <c r="L183" s="1">
        <f t="shared" si="11"/>
        <v>3845</v>
      </c>
      <c r="M183" s="1">
        <f t="shared" si="10"/>
        <v>192.25</v>
      </c>
      <c r="N183" s="1">
        <f t="shared" si="12"/>
        <v>3652.75</v>
      </c>
      <c r="O183" s="1" t="str">
        <f t="shared" si="13"/>
        <v>February</v>
      </c>
      <c r="P183" s="1">
        <f t="shared" si="14"/>
        <v>2026</v>
      </c>
    </row>
    <row r="184" spans="1:16">
      <c r="A184" s="1">
        <v>1200</v>
      </c>
      <c r="B184" s="2">
        <v>46113</v>
      </c>
      <c r="C184" s="1" t="s">
        <v>33</v>
      </c>
      <c r="D184" s="1" t="s">
        <v>45</v>
      </c>
      <c r="E184" s="1" t="s">
        <v>34</v>
      </c>
      <c r="F184" s="1" t="s">
        <v>19</v>
      </c>
      <c r="G184" s="1">
        <v>7</v>
      </c>
      <c r="H184" s="1">
        <v>14592</v>
      </c>
      <c r="I184" s="5">
        <v>10</v>
      </c>
      <c r="J184" s="1" t="s">
        <v>20</v>
      </c>
      <c r="K184" s="1" t="s">
        <v>21</v>
      </c>
      <c r="L184" s="1">
        <f t="shared" si="11"/>
        <v>102144</v>
      </c>
      <c r="M184" s="1">
        <f t="shared" si="10"/>
        <v>10214.400000000001</v>
      </c>
      <c r="N184" s="1">
        <f t="shared" si="12"/>
        <v>91929.600000000006</v>
      </c>
      <c r="O184" s="1" t="str">
        <f t="shared" si="13"/>
        <v>April</v>
      </c>
      <c r="P184" s="1">
        <f t="shared" si="14"/>
        <v>2026</v>
      </c>
    </row>
    <row r="185" spans="1:16">
      <c r="A185" s="1">
        <v>1201</v>
      </c>
      <c r="B185" s="2">
        <v>46080</v>
      </c>
      <c r="C185" s="1" t="s">
        <v>42</v>
      </c>
      <c r="D185" s="1" t="s">
        <v>17</v>
      </c>
      <c r="E185" s="1" t="s">
        <v>27</v>
      </c>
      <c r="F185" s="1" t="s">
        <v>28</v>
      </c>
      <c r="G185" s="1">
        <v>4</v>
      </c>
      <c r="H185" s="1">
        <v>10428</v>
      </c>
      <c r="I185" s="5">
        <v>5</v>
      </c>
      <c r="J185" s="1" t="s">
        <v>20</v>
      </c>
      <c r="K185" s="1" t="s">
        <v>21</v>
      </c>
      <c r="L185" s="1">
        <f t="shared" si="11"/>
        <v>41712</v>
      </c>
      <c r="M185" s="1">
        <f t="shared" si="10"/>
        <v>2085.6</v>
      </c>
      <c r="N185" s="1">
        <f t="shared" si="12"/>
        <v>39626.400000000001</v>
      </c>
      <c r="O185" s="1" t="str">
        <f t="shared" si="13"/>
        <v>February</v>
      </c>
      <c r="P185" s="1">
        <f t="shared" si="14"/>
        <v>2026</v>
      </c>
    </row>
    <row r="186" spans="1:16">
      <c r="A186" s="1">
        <v>1202</v>
      </c>
      <c r="B186" s="2">
        <v>46048</v>
      </c>
      <c r="C186" s="1" t="s">
        <v>39</v>
      </c>
      <c r="D186" s="1" t="s">
        <v>17</v>
      </c>
      <c r="E186" s="1" t="s">
        <v>34</v>
      </c>
      <c r="F186" s="1" t="s">
        <v>19</v>
      </c>
      <c r="G186" s="1">
        <v>3</v>
      </c>
      <c r="H186" s="1">
        <v>14998</v>
      </c>
      <c r="I186" s="5">
        <v>10</v>
      </c>
      <c r="J186" s="1" t="s">
        <v>24</v>
      </c>
      <c r="K186" s="1" t="s">
        <v>25</v>
      </c>
      <c r="L186" s="1">
        <f t="shared" si="11"/>
        <v>44994</v>
      </c>
      <c r="M186" s="1">
        <f t="shared" si="10"/>
        <v>4499.4000000000005</v>
      </c>
      <c r="N186" s="1">
        <f t="shared" si="12"/>
        <v>40494.6</v>
      </c>
      <c r="O186" s="1" t="str">
        <f t="shared" si="13"/>
        <v>January</v>
      </c>
      <c r="P186" s="1">
        <f t="shared" si="14"/>
        <v>2026</v>
      </c>
    </row>
    <row r="187" spans="1:16">
      <c r="A187" s="1">
        <v>1203</v>
      </c>
      <c r="B187" s="2">
        <v>46026</v>
      </c>
      <c r="C187" s="1" t="s">
        <v>42</v>
      </c>
      <c r="D187" s="1" t="s">
        <v>41</v>
      </c>
      <c r="E187" s="1" t="s">
        <v>44</v>
      </c>
      <c r="F187" s="1" t="s">
        <v>19</v>
      </c>
      <c r="G187" s="1">
        <v>9</v>
      </c>
      <c r="H187" s="1">
        <v>7146</v>
      </c>
      <c r="I187" s="5">
        <v>15</v>
      </c>
      <c r="J187" s="1" t="s">
        <v>20</v>
      </c>
      <c r="K187" s="1" t="s">
        <v>29</v>
      </c>
      <c r="L187" s="1">
        <f t="shared" si="11"/>
        <v>64314</v>
      </c>
      <c r="M187" s="1">
        <f t="shared" si="10"/>
        <v>9647.1</v>
      </c>
      <c r="N187" s="1">
        <f t="shared" si="12"/>
        <v>54666.9</v>
      </c>
      <c r="O187" s="1" t="str">
        <f t="shared" si="13"/>
        <v>January</v>
      </c>
      <c r="P187" s="1">
        <f t="shared" si="14"/>
        <v>2026</v>
      </c>
    </row>
    <row r="188" spans="1:16">
      <c r="A188" s="1">
        <v>1204</v>
      </c>
      <c r="B188" s="2">
        <v>46094</v>
      </c>
      <c r="C188" s="1" t="s">
        <v>30</v>
      </c>
      <c r="D188" s="1" t="s">
        <v>31</v>
      </c>
      <c r="E188" s="1" t="s">
        <v>38</v>
      </c>
      <c r="F188" s="1" t="s">
        <v>28</v>
      </c>
      <c r="G188" s="1">
        <v>2</v>
      </c>
      <c r="H188" s="1">
        <v>3735</v>
      </c>
      <c r="I188" s="5">
        <v>5</v>
      </c>
      <c r="J188" s="1" t="s">
        <v>20</v>
      </c>
      <c r="K188" s="1" t="s">
        <v>25</v>
      </c>
      <c r="L188" s="1">
        <f t="shared" si="11"/>
        <v>7470</v>
      </c>
      <c r="M188" s="1">
        <f t="shared" si="10"/>
        <v>373.5</v>
      </c>
      <c r="N188" s="1">
        <f t="shared" si="12"/>
        <v>7096.5</v>
      </c>
      <c r="O188" s="1" t="str">
        <f t="shared" si="13"/>
        <v>March</v>
      </c>
      <c r="P188" s="1">
        <f t="shared" si="14"/>
        <v>2026</v>
      </c>
    </row>
    <row r="189" spans="1:16">
      <c r="A189" s="1">
        <v>1205</v>
      </c>
      <c r="B189" s="2">
        <v>46109</v>
      </c>
      <c r="C189" s="1" t="s">
        <v>22</v>
      </c>
      <c r="D189" s="1" t="s">
        <v>31</v>
      </c>
      <c r="E189" s="1" t="s">
        <v>35</v>
      </c>
      <c r="F189" s="1" t="s">
        <v>19</v>
      </c>
      <c r="G189" s="1">
        <v>7</v>
      </c>
      <c r="H189" s="1">
        <v>8723</v>
      </c>
      <c r="I189" s="5">
        <v>10</v>
      </c>
      <c r="J189" s="1" t="s">
        <v>20</v>
      </c>
      <c r="K189" s="1" t="s">
        <v>21</v>
      </c>
      <c r="L189" s="1">
        <f t="shared" si="11"/>
        <v>61061</v>
      </c>
      <c r="M189" s="1">
        <f t="shared" si="10"/>
        <v>6106.1</v>
      </c>
      <c r="N189" s="1">
        <f t="shared" si="12"/>
        <v>54954.9</v>
      </c>
      <c r="O189" s="1" t="str">
        <f t="shared" si="13"/>
        <v>March</v>
      </c>
      <c r="P189" s="1">
        <f t="shared" si="14"/>
        <v>2026</v>
      </c>
    </row>
    <row r="190" spans="1:16">
      <c r="A190" s="1">
        <v>1206</v>
      </c>
      <c r="B190" s="2">
        <v>46041</v>
      </c>
      <c r="C190" s="1" t="s">
        <v>43</v>
      </c>
      <c r="D190" s="1" t="s">
        <v>17</v>
      </c>
      <c r="E190" s="1" t="s">
        <v>32</v>
      </c>
      <c r="F190" s="1" t="s">
        <v>28</v>
      </c>
      <c r="G190" s="1">
        <v>8</v>
      </c>
      <c r="H190" s="1">
        <v>801</v>
      </c>
      <c r="I190" s="5">
        <v>15</v>
      </c>
      <c r="J190" s="1" t="s">
        <v>24</v>
      </c>
      <c r="K190" s="1" t="s">
        <v>29</v>
      </c>
      <c r="L190" s="1">
        <f t="shared" si="11"/>
        <v>6408</v>
      </c>
      <c r="M190" s="1">
        <f t="shared" si="10"/>
        <v>961.19999999999993</v>
      </c>
      <c r="N190" s="1">
        <f t="shared" si="12"/>
        <v>5446.8</v>
      </c>
      <c r="O190" s="1" t="str">
        <f t="shared" si="13"/>
        <v>January</v>
      </c>
      <c r="P190" s="1">
        <f t="shared" si="14"/>
        <v>2026</v>
      </c>
    </row>
    <row r="191" spans="1:16">
      <c r="A191" s="1">
        <v>1207</v>
      </c>
      <c r="B191" s="2">
        <v>46047</v>
      </c>
      <c r="C191" s="1" t="s">
        <v>30</v>
      </c>
      <c r="D191" s="1" t="s">
        <v>31</v>
      </c>
      <c r="E191" s="1" t="s">
        <v>23</v>
      </c>
      <c r="F191" s="1" t="s">
        <v>19</v>
      </c>
      <c r="G191" s="1">
        <v>2</v>
      </c>
      <c r="H191" s="1">
        <v>857</v>
      </c>
      <c r="I191" s="5">
        <v>5</v>
      </c>
      <c r="J191" s="1" t="s">
        <v>24</v>
      </c>
      <c r="K191" s="1" t="s">
        <v>21</v>
      </c>
      <c r="L191" s="1">
        <f t="shared" si="11"/>
        <v>1714</v>
      </c>
      <c r="M191" s="1">
        <f t="shared" si="10"/>
        <v>85.7</v>
      </c>
      <c r="N191" s="1">
        <f t="shared" si="12"/>
        <v>1628.3</v>
      </c>
      <c r="O191" s="1" t="str">
        <f t="shared" si="13"/>
        <v>January</v>
      </c>
      <c r="P191" s="1">
        <f t="shared" si="14"/>
        <v>2026</v>
      </c>
    </row>
    <row r="192" spans="1:16">
      <c r="A192" s="1">
        <v>1208</v>
      </c>
      <c r="B192" s="2">
        <v>46042</v>
      </c>
      <c r="C192" s="1" t="s">
        <v>43</v>
      </c>
      <c r="D192" s="1" t="s">
        <v>37</v>
      </c>
      <c r="E192" s="1" t="s">
        <v>38</v>
      </c>
      <c r="F192" s="1" t="s">
        <v>28</v>
      </c>
      <c r="G192" s="1">
        <v>4</v>
      </c>
      <c r="H192" s="1">
        <v>3124</v>
      </c>
      <c r="I192" s="5">
        <v>10</v>
      </c>
      <c r="J192" s="1" t="s">
        <v>20</v>
      </c>
      <c r="K192" s="1" t="s">
        <v>29</v>
      </c>
      <c r="L192" s="1">
        <f t="shared" si="11"/>
        <v>12496</v>
      </c>
      <c r="M192" s="1">
        <f t="shared" si="10"/>
        <v>1249.6000000000001</v>
      </c>
      <c r="N192" s="1">
        <f t="shared" si="12"/>
        <v>11246.4</v>
      </c>
      <c r="O192" s="1" t="str">
        <f t="shared" si="13"/>
        <v>January</v>
      </c>
      <c r="P192" s="1">
        <f t="shared" si="14"/>
        <v>2026</v>
      </c>
    </row>
    <row r="193" spans="1:16">
      <c r="A193" s="1">
        <v>1209</v>
      </c>
      <c r="B193" s="2">
        <v>46108</v>
      </c>
      <c r="C193" s="1" t="s">
        <v>22</v>
      </c>
      <c r="D193" s="1" t="s">
        <v>31</v>
      </c>
      <c r="E193" s="1" t="s">
        <v>27</v>
      </c>
      <c r="F193" s="1" t="s">
        <v>28</v>
      </c>
      <c r="G193" s="1">
        <v>6</v>
      </c>
      <c r="H193" s="1">
        <v>10085</v>
      </c>
      <c r="I193" s="5">
        <v>0</v>
      </c>
      <c r="J193" s="1" t="s">
        <v>24</v>
      </c>
      <c r="K193" s="1" t="s">
        <v>29</v>
      </c>
      <c r="L193" s="1">
        <f t="shared" si="11"/>
        <v>60510</v>
      </c>
      <c r="M193" s="1">
        <f t="shared" si="10"/>
        <v>0</v>
      </c>
      <c r="N193" s="1">
        <f t="shared" si="12"/>
        <v>60510</v>
      </c>
      <c r="O193" s="1" t="str">
        <f t="shared" si="13"/>
        <v>March</v>
      </c>
      <c r="P193" s="1">
        <f t="shared" si="14"/>
        <v>2026</v>
      </c>
    </row>
    <row r="194" spans="1:16">
      <c r="A194" s="1">
        <v>1210</v>
      </c>
      <c r="B194" s="2">
        <v>46100</v>
      </c>
      <c r="C194" s="1" t="s">
        <v>16</v>
      </c>
      <c r="D194" s="1" t="s">
        <v>37</v>
      </c>
      <c r="E194" s="1" t="s">
        <v>35</v>
      </c>
      <c r="F194" s="1" t="s">
        <v>19</v>
      </c>
      <c r="G194" s="1">
        <v>10</v>
      </c>
      <c r="H194" s="1">
        <v>8537</v>
      </c>
      <c r="I194" s="5">
        <v>10</v>
      </c>
      <c r="J194" s="1" t="s">
        <v>24</v>
      </c>
      <c r="K194" s="1" t="s">
        <v>29</v>
      </c>
      <c r="L194" s="1">
        <f t="shared" si="11"/>
        <v>85370</v>
      </c>
      <c r="M194" s="1">
        <f t="shared" ref="M194:M257" si="15">L194*(I194/100)</f>
        <v>8537</v>
      </c>
      <c r="N194" s="1">
        <f t="shared" si="12"/>
        <v>76833</v>
      </c>
      <c r="O194" s="1" t="str">
        <f t="shared" si="13"/>
        <v>March</v>
      </c>
      <c r="P194" s="1">
        <f t="shared" si="14"/>
        <v>2026</v>
      </c>
    </row>
    <row r="195" spans="1:16">
      <c r="A195" s="1">
        <v>1211</v>
      </c>
      <c r="B195" s="2">
        <v>46094</v>
      </c>
      <c r="C195" s="1" t="s">
        <v>42</v>
      </c>
      <c r="D195" s="1" t="s">
        <v>17</v>
      </c>
      <c r="E195" s="1" t="s">
        <v>23</v>
      </c>
      <c r="F195" s="1" t="s">
        <v>19</v>
      </c>
      <c r="G195" s="1">
        <v>9</v>
      </c>
      <c r="H195" s="1">
        <v>630</v>
      </c>
      <c r="I195" s="5">
        <v>5</v>
      </c>
      <c r="J195" s="1" t="s">
        <v>24</v>
      </c>
      <c r="K195" s="1" t="s">
        <v>29</v>
      </c>
      <c r="L195" s="1">
        <f t="shared" ref="L195:L258" si="16">G195*H195</f>
        <v>5670</v>
      </c>
      <c r="M195" s="1">
        <f t="shared" si="15"/>
        <v>283.5</v>
      </c>
      <c r="N195" s="1">
        <f t="shared" ref="N195:N258" si="17">L195-M195</f>
        <v>5386.5</v>
      </c>
      <c r="O195" s="1" t="str">
        <f t="shared" ref="O195:O258" si="18">TEXT(B195,"mmmm")</f>
        <v>March</v>
      </c>
      <c r="P195" s="1">
        <f t="shared" ref="P195:P258" si="19">YEAR(B195)</f>
        <v>2026</v>
      </c>
    </row>
    <row r="196" spans="1:16">
      <c r="A196" s="1">
        <v>1212</v>
      </c>
      <c r="B196" s="2">
        <v>46066</v>
      </c>
      <c r="C196" s="1" t="s">
        <v>29</v>
      </c>
      <c r="D196" s="1" t="s">
        <v>45</v>
      </c>
      <c r="E196" s="1" t="s">
        <v>23</v>
      </c>
      <c r="F196" s="1" t="s">
        <v>19</v>
      </c>
      <c r="G196" s="1">
        <v>1</v>
      </c>
      <c r="H196" s="1">
        <v>784</v>
      </c>
      <c r="I196" s="5">
        <v>0</v>
      </c>
      <c r="J196" s="1" t="s">
        <v>24</v>
      </c>
      <c r="K196" s="1" t="s">
        <v>29</v>
      </c>
      <c r="L196" s="1">
        <f t="shared" si="16"/>
        <v>784</v>
      </c>
      <c r="M196" s="1">
        <f t="shared" si="15"/>
        <v>0</v>
      </c>
      <c r="N196" s="1">
        <f t="shared" si="17"/>
        <v>784</v>
      </c>
      <c r="O196" s="1" t="str">
        <f t="shared" si="18"/>
        <v>February</v>
      </c>
      <c r="P196" s="1">
        <f t="shared" si="19"/>
        <v>2026</v>
      </c>
    </row>
    <row r="197" spans="1:16">
      <c r="A197" s="1">
        <v>1213</v>
      </c>
      <c r="B197" s="2">
        <v>46112</v>
      </c>
      <c r="C197" s="1" t="s">
        <v>40</v>
      </c>
      <c r="D197" s="1" t="s">
        <v>41</v>
      </c>
      <c r="E197" s="1" t="s">
        <v>27</v>
      </c>
      <c r="F197" s="1" t="s">
        <v>28</v>
      </c>
      <c r="G197" s="1">
        <v>7</v>
      </c>
      <c r="H197" s="1">
        <v>9980</v>
      </c>
      <c r="I197" s="5">
        <v>10</v>
      </c>
      <c r="J197" s="1" t="s">
        <v>20</v>
      </c>
      <c r="K197" s="1" t="s">
        <v>21</v>
      </c>
      <c r="L197" s="1">
        <f t="shared" si="16"/>
        <v>69860</v>
      </c>
      <c r="M197" s="1">
        <f t="shared" si="15"/>
        <v>6986</v>
      </c>
      <c r="N197" s="1">
        <f t="shared" si="17"/>
        <v>62874</v>
      </c>
      <c r="O197" s="1" t="str">
        <f t="shared" si="18"/>
        <v>March</v>
      </c>
      <c r="P197" s="1">
        <f t="shared" si="19"/>
        <v>2026</v>
      </c>
    </row>
    <row r="198" spans="1:16">
      <c r="A198" s="1">
        <v>1214</v>
      </c>
      <c r="B198" s="2">
        <v>46100</v>
      </c>
      <c r="C198" s="1" t="s">
        <v>26</v>
      </c>
      <c r="D198" s="1" t="s">
        <v>45</v>
      </c>
      <c r="E198" s="1" t="s">
        <v>35</v>
      </c>
      <c r="F198" s="1" t="s">
        <v>19</v>
      </c>
      <c r="G198" s="1">
        <v>5</v>
      </c>
      <c r="H198" s="1">
        <v>8945</v>
      </c>
      <c r="I198" s="5">
        <v>5</v>
      </c>
      <c r="J198" s="1" t="s">
        <v>20</v>
      </c>
      <c r="K198" s="1" t="s">
        <v>25</v>
      </c>
      <c r="L198" s="1">
        <f t="shared" si="16"/>
        <v>44725</v>
      </c>
      <c r="M198" s="1">
        <f t="shared" si="15"/>
        <v>2236.25</v>
      </c>
      <c r="N198" s="1">
        <f t="shared" si="17"/>
        <v>42488.75</v>
      </c>
      <c r="O198" s="1" t="str">
        <f t="shared" si="18"/>
        <v>March</v>
      </c>
      <c r="P198" s="1">
        <f t="shared" si="19"/>
        <v>2026</v>
      </c>
    </row>
    <row r="199" spans="1:16">
      <c r="A199" s="1">
        <v>1215</v>
      </c>
      <c r="B199" s="2">
        <v>46105</v>
      </c>
      <c r="C199" s="1" t="s">
        <v>21</v>
      </c>
      <c r="D199" s="1" t="s">
        <v>31</v>
      </c>
      <c r="E199" s="1" t="s">
        <v>23</v>
      </c>
      <c r="F199" s="1" t="s">
        <v>19</v>
      </c>
      <c r="G199" s="1">
        <v>7</v>
      </c>
      <c r="H199" s="1">
        <v>1045</v>
      </c>
      <c r="I199" s="5">
        <v>10</v>
      </c>
      <c r="J199" s="1" t="s">
        <v>24</v>
      </c>
      <c r="K199" s="1" t="s">
        <v>25</v>
      </c>
      <c r="L199" s="1">
        <f t="shared" si="16"/>
        <v>7315</v>
      </c>
      <c r="M199" s="1">
        <f t="shared" si="15"/>
        <v>731.5</v>
      </c>
      <c r="N199" s="1">
        <f t="shared" si="17"/>
        <v>6583.5</v>
      </c>
      <c r="O199" s="1" t="str">
        <f t="shared" si="18"/>
        <v>March</v>
      </c>
      <c r="P199" s="1">
        <f t="shared" si="19"/>
        <v>2026</v>
      </c>
    </row>
    <row r="200" spans="1:16">
      <c r="A200" s="1">
        <v>1216</v>
      </c>
      <c r="B200" s="2">
        <v>46098</v>
      </c>
      <c r="C200" s="1" t="s">
        <v>29</v>
      </c>
      <c r="D200" s="1" t="s">
        <v>31</v>
      </c>
      <c r="E200" s="1" t="s">
        <v>34</v>
      </c>
      <c r="F200" s="1" t="s">
        <v>19</v>
      </c>
      <c r="G200" s="1">
        <v>1</v>
      </c>
      <c r="H200" s="1">
        <v>15118</v>
      </c>
      <c r="I200" s="5">
        <v>5</v>
      </c>
      <c r="J200" s="1" t="s">
        <v>20</v>
      </c>
      <c r="K200" s="1" t="s">
        <v>25</v>
      </c>
      <c r="L200" s="1">
        <f t="shared" si="16"/>
        <v>15118</v>
      </c>
      <c r="M200" s="1">
        <f t="shared" si="15"/>
        <v>755.90000000000009</v>
      </c>
      <c r="N200" s="1">
        <f t="shared" si="17"/>
        <v>14362.1</v>
      </c>
      <c r="O200" s="1" t="str">
        <f t="shared" si="18"/>
        <v>March</v>
      </c>
      <c r="P200" s="1">
        <f t="shared" si="19"/>
        <v>2026</v>
      </c>
    </row>
    <row r="201" spans="1:16">
      <c r="A201" s="1">
        <v>1217</v>
      </c>
      <c r="B201" s="2">
        <v>46064</v>
      </c>
      <c r="C201" s="1" t="s">
        <v>33</v>
      </c>
      <c r="D201" s="1" t="s">
        <v>45</v>
      </c>
      <c r="E201" s="1" t="s">
        <v>27</v>
      </c>
      <c r="F201" s="1" t="s">
        <v>28</v>
      </c>
      <c r="G201" s="1">
        <v>1</v>
      </c>
      <c r="H201" s="1">
        <v>10125</v>
      </c>
      <c r="I201" s="5">
        <v>0</v>
      </c>
      <c r="J201" s="1" t="s">
        <v>24</v>
      </c>
      <c r="K201" s="1" t="s">
        <v>21</v>
      </c>
      <c r="L201" s="1">
        <f t="shared" si="16"/>
        <v>10125</v>
      </c>
      <c r="M201" s="1">
        <f t="shared" si="15"/>
        <v>0</v>
      </c>
      <c r="N201" s="1">
        <f t="shared" si="17"/>
        <v>10125</v>
      </c>
      <c r="O201" s="1" t="str">
        <f t="shared" si="18"/>
        <v>February</v>
      </c>
      <c r="P201" s="1">
        <f t="shared" si="19"/>
        <v>2026</v>
      </c>
    </row>
    <row r="202" spans="1:16">
      <c r="A202" s="1">
        <v>1218</v>
      </c>
      <c r="B202" s="2">
        <v>46092</v>
      </c>
      <c r="C202" s="1" t="s">
        <v>29</v>
      </c>
      <c r="D202" s="1" t="s">
        <v>41</v>
      </c>
      <c r="E202" s="1" t="s">
        <v>35</v>
      </c>
      <c r="F202" s="1" t="s">
        <v>19</v>
      </c>
      <c r="G202" s="1">
        <v>1</v>
      </c>
      <c r="H202" s="1">
        <v>8911</v>
      </c>
      <c r="I202" s="5">
        <v>10</v>
      </c>
      <c r="J202" s="1" t="s">
        <v>20</v>
      </c>
      <c r="K202" s="1" t="s">
        <v>29</v>
      </c>
      <c r="L202" s="1">
        <f t="shared" si="16"/>
        <v>8911</v>
      </c>
      <c r="M202" s="1">
        <f t="shared" si="15"/>
        <v>891.1</v>
      </c>
      <c r="N202" s="1">
        <f t="shared" si="17"/>
        <v>8019.9</v>
      </c>
      <c r="O202" s="1" t="str">
        <f t="shared" si="18"/>
        <v>March</v>
      </c>
      <c r="P202" s="1">
        <f t="shared" si="19"/>
        <v>2026</v>
      </c>
    </row>
    <row r="203" spans="1:16">
      <c r="A203" s="1">
        <v>1219</v>
      </c>
      <c r="B203" s="2">
        <v>46044</v>
      </c>
      <c r="C203" s="1" t="s">
        <v>39</v>
      </c>
      <c r="D203" s="1" t="s">
        <v>31</v>
      </c>
      <c r="E203" s="1" t="s">
        <v>23</v>
      </c>
      <c r="F203" s="1" t="s">
        <v>19</v>
      </c>
      <c r="G203" s="1">
        <v>2</v>
      </c>
      <c r="H203" s="1">
        <v>750</v>
      </c>
      <c r="I203" s="5">
        <v>15</v>
      </c>
      <c r="J203" s="1" t="s">
        <v>24</v>
      </c>
      <c r="K203" s="1" t="s">
        <v>29</v>
      </c>
      <c r="L203" s="1">
        <f t="shared" si="16"/>
        <v>1500</v>
      </c>
      <c r="M203" s="1">
        <f t="shared" si="15"/>
        <v>225</v>
      </c>
      <c r="N203" s="1">
        <f t="shared" si="17"/>
        <v>1275</v>
      </c>
      <c r="O203" s="1" t="str">
        <f t="shared" si="18"/>
        <v>January</v>
      </c>
      <c r="P203" s="1">
        <f t="shared" si="19"/>
        <v>2026</v>
      </c>
    </row>
    <row r="204" spans="1:16">
      <c r="A204" s="1">
        <v>1220</v>
      </c>
      <c r="B204" s="2">
        <v>46052</v>
      </c>
      <c r="C204" s="1" t="s">
        <v>26</v>
      </c>
      <c r="D204" s="1" t="s">
        <v>17</v>
      </c>
      <c r="E204" s="1" t="s">
        <v>32</v>
      </c>
      <c r="F204" s="1" t="s">
        <v>28</v>
      </c>
      <c r="G204" s="1">
        <v>3</v>
      </c>
      <c r="H204" s="1">
        <v>868</v>
      </c>
      <c r="I204" s="5">
        <v>10</v>
      </c>
      <c r="J204" s="1" t="s">
        <v>24</v>
      </c>
      <c r="K204" s="1" t="s">
        <v>25</v>
      </c>
      <c r="L204" s="1">
        <f t="shared" si="16"/>
        <v>2604</v>
      </c>
      <c r="M204" s="1">
        <f t="shared" si="15"/>
        <v>260.40000000000003</v>
      </c>
      <c r="N204" s="1">
        <f t="shared" si="17"/>
        <v>2343.6</v>
      </c>
      <c r="O204" s="1" t="str">
        <f t="shared" si="18"/>
        <v>January</v>
      </c>
      <c r="P204" s="1">
        <f t="shared" si="19"/>
        <v>2026</v>
      </c>
    </row>
    <row r="205" spans="1:16">
      <c r="A205" s="1">
        <v>1221</v>
      </c>
      <c r="B205" s="2">
        <v>46064</v>
      </c>
      <c r="C205" s="1" t="s">
        <v>42</v>
      </c>
      <c r="D205" s="1" t="s">
        <v>17</v>
      </c>
      <c r="E205" s="1" t="s">
        <v>23</v>
      </c>
      <c r="F205" s="1" t="s">
        <v>19</v>
      </c>
      <c r="G205" s="1">
        <v>10</v>
      </c>
      <c r="H205" s="1">
        <v>630</v>
      </c>
      <c r="I205" s="5">
        <v>5</v>
      </c>
      <c r="J205" s="1" t="s">
        <v>20</v>
      </c>
      <c r="K205" s="1" t="s">
        <v>25</v>
      </c>
      <c r="L205" s="1">
        <f t="shared" si="16"/>
        <v>6300</v>
      </c>
      <c r="M205" s="1">
        <f t="shared" si="15"/>
        <v>315</v>
      </c>
      <c r="N205" s="1">
        <f t="shared" si="17"/>
        <v>5985</v>
      </c>
      <c r="O205" s="1" t="str">
        <f t="shared" si="18"/>
        <v>February</v>
      </c>
      <c r="P205" s="1">
        <f t="shared" si="19"/>
        <v>2026</v>
      </c>
    </row>
    <row r="206" spans="1:16">
      <c r="A206" s="1">
        <v>1222</v>
      </c>
      <c r="B206" s="2">
        <v>46094</v>
      </c>
      <c r="C206" s="1" t="s">
        <v>43</v>
      </c>
      <c r="D206" s="1" t="s">
        <v>37</v>
      </c>
      <c r="E206" s="1" t="s">
        <v>44</v>
      </c>
      <c r="F206" s="1" t="s">
        <v>19</v>
      </c>
      <c r="G206" s="1">
        <v>7</v>
      </c>
      <c r="H206" s="1">
        <v>6612</v>
      </c>
      <c r="I206" s="5">
        <v>15</v>
      </c>
      <c r="J206" s="1" t="s">
        <v>24</v>
      </c>
      <c r="K206" s="1" t="s">
        <v>21</v>
      </c>
      <c r="L206" s="1">
        <f t="shared" si="16"/>
        <v>46284</v>
      </c>
      <c r="M206" s="1">
        <f t="shared" si="15"/>
        <v>6942.5999999999995</v>
      </c>
      <c r="N206" s="1">
        <f t="shared" si="17"/>
        <v>39341.4</v>
      </c>
      <c r="O206" s="1" t="str">
        <f t="shared" si="18"/>
        <v>March</v>
      </c>
      <c r="P206" s="1">
        <f t="shared" si="19"/>
        <v>2026</v>
      </c>
    </row>
    <row r="207" spans="1:16">
      <c r="A207" s="1">
        <v>1223</v>
      </c>
      <c r="B207" s="2">
        <v>46024</v>
      </c>
      <c r="C207" s="1" t="s">
        <v>30</v>
      </c>
      <c r="D207" s="1" t="s">
        <v>37</v>
      </c>
      <c r="E207" s="1" t="s">
        <v>34</v>
      </c>
      <c r="F207" s="1" t="s">
        <v>19</v>
      </c>
      <c r="G207" s="1">
        <v>10</v>
      </c>
      <c r="H207" s="1">
        <v>15075</v>
      </c>
      <c r="I207" s="5">
        <v>10</v>
      </c>
      <c r="J207" s="1" t="s">
        <v>24</v>
      </c>
      <c r="K207" s="1" t="s">
        <v>21</v>
      </c>
      <c r="L207" s="1">
        <f t="shared" si="16"/>
        <v>150750</v>
      </c>
      <c r="M207" s="1">
        <f t="shared" si="15"/>
        <v>15075</v>
      </c>
      <c r="N207" s="1">
        <f t="shared" si="17"/>
        <v>135675</v>
      </c>
      <c r="O207" s="1" t="str">
        <f t="shared" si="18"/>
        <v>January</v>
      </c>
      <c r="P207" s="1">
        <f t="shared" si="19"/>
        <v>2026</v>
      </c>
    </row>
    <row r="208" spans="1:16">
      <c r="A208" s="1">
        <v>1224</v>
      </c>
      <c r="B208" s="2">
        <v>46024</v>
      </c>
      <c r="C208" s="1" t="s">
        <v>16</v>
      </c>
      <c r="D208" s="1" t="s">
        <v>17</v>
      </c>
      <c r="E208" s="1" t="s">
        <v>27</v>
      </c>
      <c r="F208" s="1" t="s">
        <v>28</v>
      </c>
      <c r="G208" s="1">
        <v>5</v>
      </c>
      <c r="H208" s="1">
        <v>9959</v>
      </c>
      <c r="I208" s="5">
        <v>10</v>
      </c>
      <c r="J208" s="1" t="s">
        <v>24</v>
      </c>
      <c r="K208" s="1" t="s">
        <v>29</v>
      </c>
      <c r="L208" s="1">
        <f t="shared" si="16"/>
        <v>49795</v>
      </c>
      <c r="M208" s="1">
        <f t="shared" si="15"/>
        <v>4979.5</v>
      </c>
      <c r="N208" s="1">
        <f t="shared" si="17"/>
        <v>44815.5</v>
      </c>
      <c r="O208" s="1" t="str">
        <f t="shared" si="18"/>
        <v>January</v>
      </c>
      <c r="P208" s="1">
        <f t="shared" si="19"/>
        <v>2026</v>
      </c>
    </row>
    <row r="209" spans="1:16">
      <c r="A209" s="1">
        <v>1225</v>
      </c>
      <c r="B209" s="2">
        <v>46078</v>
      </c>
      <c r="C209" s="1" t="s">
        <v>40</v>
      </c>
      <c r="D209" s="1" t="s">
        <v>17</v>
      </c>
      <c r="E209" s="1" t="s">
        <v>35</v>
      </c>
      <c r="F209" s="1" t="s">
        <v>19</v>
      </c>
      <c r="G209" s="1">
        <v>8</v>
      </c>
      <c r="H209" s="1">
        <v>9463</v>
      </c>
      <c r="I209" s="5">
        <v>15</v>
      </c>
      <c r="J209" s="1" t="s">
        <v>24</v>
      </c>
      <c r="K209" s="1" t="s">
        <v>25</v>
      </c>
      <c r="L209" s="1">
        <f t="shared" si="16"/>
        <v>75704</v>
      </c>
      <c r="M209" s="1">
        <f t="shared" si="15"/>
        <v>11355.6</v>
      </c>
      <c r="N209" s="1">
        <f t="shared" si="17"/>
        <v>64348.4</v>
      </c>
      <c r="O209" s="1" t="str">
        <f t="shared" si="18"/>
        <v>February</v>
      </c>
      <c r="P209" s="1">
        <f t="shared" si="19"/>
        <v>2026</v>
      </c>
    </row>
    <row r="210" spans="1:16">
      <c r="A210" s="1">
        <v>1226</v>
      </c>
      <c r="B210" s="2">
        <v>46072</v>
      </c>
      <c r="C210" s="1" t="s">
        <v>42</v>
      </c>
      <c r="D210" s="1" t="s">
        <v>31</v>
      </c>
      <c r="E210" s="1" t="s">
        <v>23</v>
      </c>
      <c r="F210" s="1" t="s">
        <v>19</v>
      </c>
      <c r="G210" s="1">
        <v>6</v>
      </c>
      <c r="H210" s="1">
        <v>472</v>
      </c>
      <c r="I210" s="5">
        <v>0</v>
      </c>
      <c r="J210" s="1" t="s">
        <v>24</v>
      </c>
      <c r="K210" s="1" t="s">
        <v>21</v>
      </c>
      <c r="L210" s="1">
        <f t="shared" si="16"/>
        <v>2832</v>
      </c>
      <c r="M210" s="1">
        <f t="shared" si="15"/>
        <v>0</v>
      </c>
      <c r="N210" s="1">
        <f t="shared" si="17"/>
        <v>2832</v>
      </c>
      <c r="O210" s="1" t="str">
        <f t="shared" si="18"/>
        <v>February</v>
      </c>
      <c r="P210" s="1">
        <f t="shared" si="19"/>
        <v>2026</v>
      </c>
    </row>
    <row r="211" spans="1:16">
      <c r="A211" s="1">
        <v>1227</v>
      </c>
      <c r="B211" s="2">
        <v>46051</v>
      </c>
      <c r="C211" s="1" t="s">
        <v>40</v>
      </c>
      <c r="D211" s="1" t="s">
        <v>31</v>
      </c>
      <c r="E211" s="1" t="s">
        <v>27</v>
      </c>
      <c r="F211" s="1" t="s">
        <v>28</v>
      </c>
      <c r="G211" s="1">
        <v>5</v>
      </c>
      <c r="H211" s="1">
        <v>10226</v>
      </c>
      <c r="I211" s="5">
        <v>5</v>
      </c>
      <c r="J211" s="1" t="s">
        <v>20</v>
      </c>
      <c r="K211" s="1" t="s">
        <v>25</v>
      </c>
      <c r="L211" s="1">
        <f t="shared" si="16"/>
        <v>51130</v>
      </c>
      <c r="M211" s="1">
        <f t="shared" si="15"/>
        <v>2556.5</v>
      </c>
      <c r="N211" s="1">
        <f t="shared" si="17"/>
        <v>48573.5</v>
      </c>
      <c r="O211" s="1" t="str">
        <f t="shared" si="18"/>
        <v>January</v>
      </c>
      <c r="P211" s="1">
        <f t="shared" si="19"/>
        <v>2026</v>
      </c>
    </row>
    <row r="212" spans="1:16">
      <c r="A212" s="1">
        <v>1228</v>
      </c>
      <c r="B212" s="2">
        <v>46104</v>
      </c>
      <c r="C212" s="1" t="s">
        <v>16</v>
      </c>
      <c r="D212" s="1" t="s">
        <v>45</v>
      </c>
      <c r="E212" s="1" t="s">
        <v>34</v>
      </c>
      <c r="F212" s="1" t="s">
        <v>19</v>
      </c>
      <c r="G212" s="1">
        <v>5</v>
      </c>
      <c r="H212" s="1">
        <v>15347</v>
      </c>
      <c r="I212" s="5">
        <v>15</v>
      </c>
      <c r="J212" s="1" t="s">
        <v>24</v>
      </c>
      <c r="K212" s="1" t="s">
        <v>21</v>
      </c>
      <c r="L212" s="1">
        <f t="shared" si="16"/>
        <v>76735</v>
      </c>
      <c r="M212" s="1">
        <f t="shared" si="15"/>
        <v>11510.25</v>
      </c>
      <c r="N212" s="1">
        <f t="shared" si="17"/>
        <v>65224.75</v>
      </c>
      <c r="O212" s="1" t="str">
        <f t="shared" si="18"/>
        <v>March</v>
      </c>
      <c r="P212" s="1">
        <f t="shared" si="19"/>
        <v>2026</v>
      </c>
    </row>
    <row r="213" spans="1:16">
      <c r="A213" s="1">
        <v>1230</v>
      </c>
      <c r="B213" s="2">
        <v>46098</v>
      </c>
      <c r="C213" s="1" t="s">
        <v>16</v>
      </c>
      <c r="D213" s="1" t="s">
        <v>41</v>
      </c>
      <c r="E213" s="1" t="s">
        <v>35</v>
      </c>
      <c r="F213" s="1" t="s">
        <v>19</v>
      </c>
      <c r="G213" s="1">
        <v>9</v>
      </c>
      <c r="H213" s="1">
        <v>8638</v>
      </c>
      <c r="I213" s="5">
        <v>15</v>
      </c>
      <c r="J213" s="1" t="s">
        <v>24</v>
      </c>
      <c r="K213" s="1" t="s">
        <v>25</v>
      </c>
      <c r="L213" s="1">
        <f t="shared" si="16"/>
        <v>77742</v>
      </c>
      <c r="M213" s="1">
        <f t="shared" si="15"/>
        <v>11661.3</v>
      </c>
      <c r="N213" s="1">
        <f t="shared" si="17"/>
        <v>66080.7</v>
      </c>
      <c r="O213" s="1" t="str">
        <f t="shared" si="18"/>
        <v>March</v>
      </c>
      <c r="P213" s="1">
        <f t="shared" si="19"/>
        <v>2026</v>
      </c>
    </row>
    <row r="214" spans="1:16">
      <c r="A214" s="1">
        <v>1232</v>
      </c>
      <c r="B214" s="2">
        <v>46030</v>
      </c>
      <c r="C214" s="1" t="s">
        <v>36</v>
      </c>
      <c r="D214" s="1" t="s">
        <v>17</v>
      </c>
      <c r="E214" s="1" t="s">
        <v>23</v>
      </c>
      <c r="F214" s="1" t="s">
        <v>19</v>
      </c>
      <c r="G214" s="1">
        <v>4</v>
      </c>
      <c r="H214" s="1">
        <v>613</v>
      </c>
      <c r="I214" s="5">
        <v>0</v>
      </c>
      <c r="J214" s="1" t="s">
        <v>20</v>
      </c>
      <c r="K214" s="1" t="s">
        <v>25</v>
      </c>
      <c r="L214" s="1">
        <f t="shared" si="16"/>
        <v>2452</v>
      </c>
      <c r="M214" s="1">
        <f t="shared" si="15"/>
        <v>0</v>
      </c>
      <c r="N214" s="1">
        <f t="shared" si="17"/>
        <v>2452</v>
      </c>
      <c r="O214" s="1" t="str">
        <f t="shared" si="18"/>
        <v>January</v>
      </c>
      <c r="P214" s="1">
        <f t="shared" si="19"/>
        <v>2026</v>
      </c>
    </row>
    <row r="215" spans="1:16">
      <c r="A215" s="1">
        <v>1233</v>
      </c>
      <c r="B215" s="2">
        <v>46043</v>
      </c>
      <c r="C215" s="1" t="s">
        <v>22</v>
      </c>
      <c r="D215" s="1" t="s">
        <v>41</v>
      </c>
      <c r="E215" s="1" t="s">
        <v>38</v>
      </c>
      <c r="F215" s="1" t="s">
        <v>28</v>
      </c>
      <c r="G215" s="1">
        <v>6</v>
      </c>
      <c r="H215" s="1">
        <v>3671</v>
      </c>
      <c r="I215" s="5">
        <v>0</v>
      </c>
      <c r="J215" s="1" t="s">
        <v>20</v>
      </c>
      <c r="K215" s="1" t="s">
        <v>21</v>
      </c>
      <c r="L215" s="1">
        <f t="shared" si="16"/>
        <v>22026</v>
      </c>
      <c r="M215" s="1">
        <f t="shared" si="15"/>
        <v>0</v>
      </c>
      <c r="N215" s="1">
        <f t="shared" si="17"/>
        <v>22026</v>
      </c>
      <c r="O215" s="1" t="str">
        <f t="shared" si="18"/>
        <v>January</v>
      </c>
      <c r="P215" s="1">
        <f t="shared" si="19"/>
        <v>2026</v>
      </c>
    </row>
    <row r="216" spans="1:16">
      <c r="A216" s="1">
        <v>1234</v>
      </c>
      <c r="B216" s="2">
        <v>46030</v>
      </c>
      <c r="C216" s="1" t="s">
        <v>40</v>
      </c>
      <c r="D216" s="1" t="s">
        <v>41</v>
      </c>
      <c r="E216" s="1" t="s">
        <v>35</v>
      </c>
      <c r="F216" s="1" t="s">
        <v>19</v>
      </c>
      <c r="G216" s="1">
        <v>9</v>
      </c>
      <c r="H216" s="1">
        <v>9071</v>
      </c>
      <c r="I216" s="5">
        <v>5</v>
      </c>
      <c r="J216" s="1" t="s">
        <v>20</v>
      </c>
      <c r="K216" s="1" t="s">
        <v>29</v>
      </c>
      <c r="L216" s="1">
        <f t="shared" si="16"/>
        <v>81639</v>
      </c>
      <c r="M216" s="1">
        <f t="shared" si="15"/>
        <v>4081.9500000000003</v>
      </c>
      <c r="N216" s="1">
        <f t="shared" si="17"/>
        <v>77557.05</v>
      </c>
      <c r="O216" s="1" t="str">
        <f t="shared" si="18"/>
        <v>January</v>
      </c>
      <c r="P216" s="1">
        <f t="shared" si="19"/>
        <v>2026</v>
      </c>
    </row>
    <row r="217" spans="1:16">
      <c r="A217" s="1">
        <v>1235</v>
      </c>
      <c r="B217" s="2">
        <v>46081</v>
      </c>
      <c r="C217" s="1" t="s">
        <v>40</v>
      </c>
      <c r="D217" s="1" t="s">
        <v>17</v>
      </c>
      <c r="E217" s="1" t="s">
        <v>32</v>
      </c>
      <c r="F217" s="1" t="s">
        <v>28</v>
      </c>
      <c r="G217" s="1">
        <v>7</v>
      </c>
      <c r="H217" s="1">
        <v>1254</v>
      </c>
      <c r="I217" s="5">
        <v>0</v>
      </c>
      <c r="J217" s="1" t="s">
        <v>24</v>
      </c>
      <c r="K217" s="1" t="s">
        <v>29</v>
      </c>
      <c r="L217" s="1">
        <f t="shared" si="16"/>
        <v>8778</v>
      </c>
      <c r="M217" s="1">
        <f t="shared" si="15"/>
        <v>0</v>
      </c>
      <c r="N217" s="1">
        <f t="shared" si="17"/>
        <v>8778</v>
      </c>
      <c r="O217" s="1" t="str">
        <f t="shared" si="18"/>
        <v>February</v>
      </c>
      <c r="P217" s="1">
        <f t="shared" si="19"/>
        <v>2026</v>
      </c>
    </row>
    <row r="218" spans="1:16">
      <c r="A218" s="1">
        <v>1237</v>
      </c>
      <c r="B218" s="2">
        <v>46084</v>
      </c>
      <c r="C218" s="1" t="s">
        <v>22</v>
      </c>
      <c r="D218" s="1" t="s">
        <v>41</v>
      </c>
      <c r="E218" s="1" t="s">
        <v>18</v>
      </c>
      <c r="F218" s="1" t="s">
        <v>19</v>
      </c>
      <c r="G218" s="1">
        <v>7</v>
      </c>
      <c r="H218" s="1">
        <v>349</v>
      </c>
      <c r="I218" s="5">
        <v>10</v>
      </c>
      <c r="J218" s="1" t="s">
        <v>20</v>
      </c>
      <c r="K218" s="1" t="s">
        <v>25</v>
      </c>
      <c r="L218" s="1">
        <f t="shared" si="16"/>
        <v>2443</v>
      </c>
      <c r="M218" s="1">
        <f t="shared" si="15"/>
        <v>244.3</v>
      </c>
      <c r="N218" s="1">
        <f t="shared" si="17"/>
        <v>2198.6999999999998</v>
      </c>
      <c r="O218" s="1" t="str">
        <f t="shared" si="18"/>
        <v>March</v>
      </c>
      <c r="P218" s="1">
        <f t="shared" si="19"/>
        <v>2026</v>
      </c>
    </row>
    <row r="219" spans="1:16">
      <c r="A219" s="1">
        <v>1238</v>
      </c>
      <c r="B219" s="2">
        <v>46063</v>
      </c>
      <c r="C219" s="1" t="s">
        <v>22</v>
      </c>
      <c r="D219" s="1" t="s">
        <v>31</v>
      </c>
      <c r="E219" s="1" t="s">
        <v>23</v>
      </c>
      <c r="F219" s="1" t="s">
        <v>19</v>
      </c>
      <c r="G219" s="1">
        <v>3</v>
      </c>
      <c r="H219" s="1">
        <v>937</v>
      </c>
      <c r="I219" s="5">
        <v>5</v>
      </c>
      <c r="J219" s="1" t="s">
        <v>20</v>
      </c>
      <c r="K219" s="1" t="s">
        <v>25</v>
      </c>
      <c r="L219" s="1">
        <f t="shared" si="16"/>
        <v>2811</v>
      </c>
      <c r="M219" s="1">
        <f t="shared" si="15"/>
        <v>140.55000000000001</v>
      </c>
      <c r="N219" s="1">
        <f t="shared" si="17"/>
        <v>2670.45</v>
      </c>
      <c r="O219" s="1" t="str">
        <f t="shared" si="18"/>
        <v>February</v>
      </c>
      <c r="P219" s="1">
        <f t="shared" si="19"/>
        <v>2026</v>
      </c>
    </row>
    <row r="220" spans="1:16">
      <c r="A220" s="1">
        <v>1239</v>
      </c>
      <c r="B220" s="2">
        <v>46105</v>
      </c>
      <c r="C220" s="1" t="s">
        <v>21</v>
      </c>
      <c r="D220" s="1" t="s">
        <v>31</v>
      </c>
      <c r="E220" s="1" t="s">
        <v>23</v>
      </c>
      <c r="F220" s="1" t="s">
        <v>19</v>
      </c>
      <c r="G220" s="1">
        <v>1</v>
      </c>
      <c r="H220" s="1">
        <v>875</v>
      </c>
      <c r="I220" s="5">
        <v>0</v>
      </c>
      <c r="J220" s="1" t="s">
        <v>20</v>
      </c>
      <c r="K220" s="1" t="s">
        <v>21</v>
      </c>
      <c r="L220" s="1">
        <f t="shared" si="16"/>
        <v>875</v>
      </c>
      <c r="M220" s="1">
        <f t="shared" si="15"/>
        <v>0</v>
      </c>
      <c r="N220" s="1">
        <f t="shared" si="17"/>
        <v>875</v>
      </c>
      <c r="O220" s="1" t="str">
        <f t="shared" si="18"/>
        <v>March</v>
      </c>
      <c r="P220" s="1">
        <f t="shared" si="19"/>
        <v>2026</v>
      </c>
    </row>
    <row r="221" spans="1:16">
      <c r="A221" s="1">
        <v>1240</v>
      </c>
      <c r="B221" s="2">
        <v>46029</v>
      </c>
      <c r="C221" s="1" t="s">
        <v>40</v>
      </c>
      <c r="D221" s="1" t="s">
        <v>45</v>
      </c>
      <c r="E221" s="1" t="s">
        <v>23</v>
      </c>
      <c r="F221" s="1" t="s">
        <v>19</v>
      </c>
      <c r="G221" s="1">
        <v>9</v>
      </c>
      <c r="H221" s="1">
        <v>769</v>
      </c>
      <c r="I221" s="5">
        <v>10</v>
      </c>
      <c r="J221" s="1" t="s">
        <v>20</v>
      </c>
      <c r="K221" s="1" t="s">
        <v>21</v>
      </c>
      <c r="L221" s="1">
        <f t="shared" si="16"/>
        <v>6921</v>
      </c>
      <c r="M221" s="1">
        <f t="shared" si="15"/>
        <v>692.1</v>
      </c>
      <c r="N221" s="1">
        <f t="shared" si="17"/>
        <v>6228.9</v>
      </c>
      <c r="O221" s="1" t="str">
        <f t="shared" si="18"/>
        <v>January</v>
      </c>
      <c r="P221" s="1">
        <f t="shared" si="19"/>
        <v>2026</v>
      </c>
    </row>
    <row r="222" spans="1:16">
      <c r="A222" s="1">
        <v>1242</v>
      </c>
      <c r="B222" s="2">
        <v>46084</v>
      </c>
      <c r="C222" s="1" t="s">
        <v>21</v>
      </c>
      <c r="D222" s="1" t="s">
        <v>41</v>
      </c>
      <c r="E222" s="1" t="s">
        <v>38</v>
      </c>
      <c r="F222" s="1" t="s">
        <v>28</v>
      </c>
      <c r="G222" s="1">
        <v>3</v>
      </c>
      <c r="H222" s="1">
        <v>3710</v>
      </c>
      <c r="I222" s="5">
        <v>0</v>
      </c>
      <c r="J222" s="1" t="s">
        <v>24</v>
      </c>
      <c r="K222" s="1" t="s">
        <v>29</v>
      </c>
      <c r="L222" s="1">
        <f t="shared" si="16"/>
        <v>11130</v>
      </c>
      <c r="M222" s="1">
        <f t="shared" si="15"/>
        <v>0</v>
      </c>
      <c r="N222" s="1">
        <f t="shared" si="17"/>
        <v>11130</v>
      </c>
      <c r="O222" s="1" t="str">
        <f t="shared" si="18"/>
        <v>March</v>
      </c>
      <c r="P222" s="1">
        <f t="shared" si="19"/>
        <v>2026</v>
      </c>
    </row>
    <row r="223" spans="1:16">
      <c r="A223" s="1">
        <v>1244</v>
      </c>
      <c r="B223" s="2">
        <v>46088</v>
      </c>
      <c r="C223" s="1" t="s">
        <v>36</v>
      </c>
      <c r="D223" s="1" t="s">
        <v>45</v>
      </c>
      <c r="E223" s="1" t="s">
        <v>23</v>
      </c>
      <c r="F223" s="1" t="s">
        <v>19</v>
      </c>
      <c r="G223" s="1">
        <v>1</v>
      </c>
      <c r="H223" s="1">
        <v>524</v>
      </c>
      <c r="I223" s="5">
        <v>5</v>
      </c>
      <c r="J223" s="1" t="s">
        <v>20</v>
      </c>
      <c r="K223" s="1" t="s">
        <v>29</v>
      </c>
      <c r="L223" s="1">
        <f t="shared" si="16"/>
        <v>524</v>
      </c>
      <c r="M223" s="1">
        <f t="shared" si="15"/>
        <v>26.200000000000003</v>
      </c>
      <c r="N223" s="1">
        <f t="shared" si="17"/>
        <v>497.8</v>
      </c>
      <c r="O223" s="1" t="str">
        <f t="shared" si="18"/>
        <v>March</v>
      </c>
      <c r="P223" s="1">
        <f t="shared" si="19"/>
        <v>2026</v>
      </c>
    </row>
    <row r="224" spans="1:16">
      <c r="A224" s="1">
        <v>1245</v>
      </c>
      <c r="B224" s="2">
        <v>46110</v>
      </c>
      <c r="C224" s="1" t="s">
        <v>22</v>
      </c>
      <c r="D224" s="1" t="s">
        <v>17</v>
      </c>
      <c r="E224" s="1" t="s">
        <v>32</v>
      </c>
      <c r="F224" s="1" t="s">
        <v>28</v>
      </c>
      <c r="G224" s="1">
        <v>8</v>
      </c>
      <c r="H224" s="1">
        <v>1077</v>
      </c>
      <c r="I224" s="5">
        <v>0</v>
      </c>
      <c r="J224" s="1" t="s">
        <v>24</v>
      </c>
      <c r="K224" s="1" t="s">
        <v>25</v>
      </c>
      <c r="L224" s="1">
        <f t="shared" si="16"/>
        <v>8616</v>
      </c>
      <c r="M224" s="1">
        <f t="shared" si="15"/>
        <v>0</v>
      </c>
      <c r="N224" s="1">
        <f t="shared" si="17"/>
        <v>8616</v>
      </c>
      <c r="O224" s="1" t="str">
        <f t="shared" si="18"/>
        <v>March</v>
      </c>
      <c r="P224" s="1">
        <f t="shared" si="19"/>
        <v>2026</v>
      </c>
    </row>
    <row r="225" spans="1:16">
      <c r="A225" s="1">
        <v>1246</v>
      </c>
      <c r="B225" s="2">
        <v>46024</v>
      </c>
      <c r="C225" s="1" t="s">
        <v>16</v>
      </c>
      <c r="D225" s="1" t="s">
        <v>31</v>
      </c>
      <c r="E225" s="1" t="s">
        <v>34</v>
      </c>
      <c r="F225" s="1" t="s">
        <v>19</v>
      </c>
      <c r="G225" s="1">
        <v>9</v>
      </c>
      <c r="H225" s="1">
        <v>15391</v>
      </c>
      <c r="I225" s="5">
        <v>5</v>
      </c>
      <c r="J225" s="1" t="s">
        <v>20</v>
      </c>
      <c r="K225" s="1" t="s">
        <v>21</v>
      </c>
      <c r="L225" s="1">
        <f t="shared" si="16"/>
        <v>138519</v>
      </c>
      <c r="M225" s="1">
        <f t="shared" si="15"/>
        <v>6925.9500000000007</v>
      </c>
      <c r="N225" s="1">
        <f t="shared" si="17"/>
        <v>131593.04999999999</v>
      </c>
      <c r="O225" s="1" t="str">
        <f t="shared" si="18"/>
        <v>January</v>
      </c>
      <c r="P225" s="1">
        <f t="shared" si="19"/>
        <v>2026</v>
      </c>
    </row>
    <row r="226" spans="1:16">
      <c r="A226" s="1">
        <v>1247</v>
      </c>
      <c r="B226" s="2">
        <v>46038</v>
      </c>
      <c r="C226" s="1" t="s">
        <v>26</v>
      </c>
      <c r="D226" s="1" t="s">
        <v>17</v>
      </c>
      <c r="E226" s="1" t="s">
        <v>38</v>
      </c>
      <c r="F226" s="1" t="s">
        <v>28</v>
      </c>
      <c r="G226" s="1">
        <v>5</v>
      </c>
      <c r="H226" s="1">
        <v>3757</v>
      </c>
      <c r="I226" s="5">
        <v>5</v>
      </c>
      <c r="J226" s="1" t="s">
        <v>20</v>
      </c>
      <c r="K226" s="1" t="s">
        <v>29</v>
      </c>
      <c r="L226" s="1">
        <f t="shared" si="16"/>
        <v>18785</v>
      </c>
      <c r="M226" s="1">
        <f t="shared" si="15"/>
        <v>939.25</v>
      </c>
      <c r="N226" s="1">
        <f t="shared" si="17"/>
        <v>17845.75</v>
      </c>
      <c r="O226" s="1" t="str">
        <f t="shared" si="18"/>
        <v>January</v>
      </c>
      <c r="P226" s="1">
        <f t="shared" si="19"/>
        <v>2026</v>
      </c>
    </row>
    <row r="227" spans="1:16">
      <c r="A227" s="1">
        <v>1249</v>
      </c>
      <c r="B227" s="2">
        <v>46075</v>
      </c>
      <c r="C227" s="1" t="s">
        <v>26</v>
      </c>
      <c r="D227" s="1" t="s">
        <v>41</v>
      </c>
      <c r="E227" s="1" t="s">
        <v>38</v>
      </c>
      <c r="F227" s="1" t="s">
        <v>28</v>
      </c>
      <c r="G227" s="1">
        <v>7</v>
      </c>
      <c r="H227" s="1">
        <v>3805</v>
      </c>
      <c r="I227" s="5">
        <v>5</v>
      </c>
      <c r="J227" s="1" t="s">
        <v>24</v>
      </c>
      <c r="K227" s="1" t="s">
        <v>25</v>
      </c>
      <c r="L227" s="1">
        <f t="shared" si="16"/>
        <v>26635</v>
      </c>
      <c r="M227" s="1">
        <f t="shared" si="15"/>
        <v>1331.75</v>
      </c>
      <c r="N227" s="1">
        <f t="shared" si="17"/>
        <v>25303.25</v>
      </c>
      <c r="O227" s="1" t="str">
        <f t="shared" si="18"/>
        <v>February</v>
      </c>
      <c r="P227" s="1">
        <f t="shared" si="19"/>
        <v>2026</v>
      </c>
    </row>
    <row r="228" spans="1:16">
      <c r="A228" s="1">
        <v>1250</v>
      </c>
      <c r="B228" s="2">
        <v>46084</v>
      </c>
      <c r="C228" s="1" t="s">
        <v>42</v>
      </c>
      <c r="D228" s="1" t="s">
        <v>17</v>
      </c>
      <c r="E228" s="1" t="s">
        <v>27</v>
      </c>
      <c r="F228" s="1" t="s">
        <v>28</v>
      </c>
      <c r="G228" s="1">
        <v>1</v>
      </c>
      <c r="H228" s="1">
        <v>9637</v>
      </c>
      <c r="I228" s="5">
        <v>5</v>
      </c>
      <c r="J228" s="1" t="s">
        <v>24</v>
      </c>
      <c r="K228" s="1" t="s">
        <v>21</v>
      </c>
      <c r="L228" s="1">
        <f t="shared" si="16"/>
        <v>9637</v>
      </c>
      <c r="M228" s="1">
        <f t="shared" si="15"/>
        <v>481.85</v>
      </c>
      <c r="N228" s="1">
        <f t="shared" si="17"/>
        <v>9155.15</v>
      </c>
      <c r="O228" s="1" t="str">
        <f t="shared" si="18"/>
        <v>March</v>
      </c>
      <c r="P228" s="1">
        <f t="shared" si="19"/>
        <v>2026</v>
      </c>
    </row>
    <row r="229" spans="1:16">
      <c r="A229" s="1">
        <v>1251</v>
      </c>
      <c r="B229" s="2">
        <v>46050</v>
      </c>
      <c r="C229" s="1" t="s">
        <v>22</v>
      </c>
      <c r="D229" s="1" t="s">
        <v>17</v>
      </c>
      <c r="E229" s="1" t="s">
        <v>32</v>
      </c>
      <c r="F229" s="1" t="s">
        <v>28</v>
      </c>
      <c r="G229" s="1">
        <v>4</v>
      </c>
      <c r="H229" s="1">
        <v>800</v>
      </c>
      <c r="I229" s="5">
        <v>15</v>
      </c>
      <c r="J229" s="1" t="s">
        <v>20</v>
      </c>
      <c r="K229" s="1" t="s">
        <v>25</v>
      </c>
      <c r="L229" s="1">
        <f t="shared" si="16"/>
        <v>3200</v>
      </c>
      <c r="M229" s="1">
        <f t="shared" si="15"/>
        <v>480</v>
      </c>
      <c r="N229" s="1">
        <f t="shared" si="17"/>
        <v>2720</v>
      </c>
      <c r="O229" s="1" t="str">
        <f t="shared" si="18"/>
        <v>January</v>
      </c>
      <c r="P229" s="1">
        <f t="shared" si="19"/>
        <v>2026</v>
      </c>
    </row>
    <row r="230" spans="1:16">
      <c r="A230" s="1">
        <v>1252</v>
      </c>
      <c r="B230" s="2">
        <v>46046</v>
      </c>
      <c r="C230" s="1" t="s">
        <v>21</v>
      </c>
      <c r="D230" s="1" t="s">
        <v>41</v>
      </c>
      <c r="E230" s="1" t="s">
        <v>32</v>
      </c>
      <c r="F230" s="1" t="s">
        <v>28</v>
      </c>
      <c r="G230" s="1">
        <v>5</v>
      </c>
      <c r="H230" s="1">
        <v>1405</v>
      </c>
      <c r="I230" s="5">
        <v>15</v>
      </c>
      <c r="J230" s="1" t="s">
        <v>24</v>
      </c>
      <c r="K230" s="1" t="s">
        <v>25</v>
      </c>
      <c r="L230" s="1">
        <f t="shared" si="16"/>
        <v>7025</v>
      </c>
      <c r="M230" s="1">
        <f t="shared" si="15"/>
        <v>1053.75</v>
      </c>
      <c r="N230" s="1">
        <f t="shared" si="17"/>
        <v>5971.25</v>
      </c>
      <c r="O230" s="1" t="str">
        <f t="shared" si="18"/>
        <v>January</v>
      </c>
      <c r="P230" s="1">
        <f t="shared" si="19"/>
        <v>2026</v>
      </c>
    </row>
    <row r="231" spans="1:16">
      <c r="A231" s="1">
        <v>1253</v>
      </c>
      <c r="B231" s="2">
        <v>46084</v>
      </c>
      <c r="C231" s="1" t="s">
        <v>30</v>
      </c>
      <c r="D231" s="1" t="s">
        <v>31</v>
      </c>
      <c r="E231" s="1" t="s">
        <v>27</v>
      </c>
      <c r="F231" s="1" t="s">
        <v>28</v>
      </c>
      <c r="G231" s="1">
        <v>8</v>
      </c>
      <c r="H231" s="1">
        <v>9759</v>
      </c>
      <c r="I231" s="5">
        <v>15</v>
      </c>
      <c r="J231" s="1" t="s">
        <v>20</v>
      </c>
      <c r="K231" s="1" t="s">
        <v>29</v>
      </c>
      <c r="L231" s="1">
        <f t="shared" si="16"/>
        <v>78072</v>
      </c>
      <c r="M231" s="1">
        <f t="shared" si="15"/>
        <v>11710.8</v>
      </c>
      <c r="N231" s="1">
        <f t="shared" si="17"/>
        <v>66361.2</v>
      </c>
      <c r="O231" s="1" t="str">
        <f t="shared" si="18"/>
        <v>March</v>
      </c>
      <c r="P231" s="1">
        <f t="shared" si="19"/>
        <v>2026</v>
      </c>
    </row>
    <row r="232" spans="1:16">
      <c r="A232" s="1">
        <v>1254</v>
      </c>
      <c r="B232" s="2">
        <v>46075</v>
      </c>
      <c r="C232" s="1" t="s">
        <v>21</v>
      </c>
      <c r="D232" s="1" t="s">
        <v>41</v>
      </c>
      <c r="E232" s="1" t="s">
        <v>32</v>
      </c>
      <c r="F232" s="1" t="s">
        <v>28</v>
      </c>
      <c r="G232" s="1">
        <v>4</v>
      </c>
      <c r="H232" s="1">
        <v>916</v>
      </c>
      <c r="I232" s="5">
        <v>15</v>
      </c>
      <c r="J232" s="1" t="s">
        <v>24</v>
      </c>
      <c r="K232" s="1" t="s">
        <v>29</v>
      </c>
      <c r="L232" s="1">
        <f t="shared" si="16"/>
        <v>3664</v>
      </c>
      <c r="M232" s="1">
        <f t="shared" si="15"/>
        <v>549.6</v>
      </c>
      <c r="N232" s="1">
        <f t="shared" si="17"/>
        <v>3114.4</v>
      </c>
      <c r="O232" s="1" t="str">
        <f t="shared" si="18"/>
        <v>February</v>
      </c>
      <c r="P232" s="1">
        <f t="shared" si="19"/>
        <v>2026</v>
      </c>
    </row>
    <row r="233" spans="1:16">
      <c r="A233" s="1">
        <v>1255</v>
      </c>
      <c r="B233" s="2">
        <v>46024</v>
      </c>
      <c r="C233" s="1" t="s">
        <v>33</v>
      </c>
      <c r="D233" s="1" t="s">
        <v>31</v>
      </c>
      <c r="E233" s="1" t="s">
        <v>27</v>
      </c>
      <c r="F233" s="1" t="s">
        <v>28</v>
      </c>
      <c r="G233" s="1">
        <v>5</v>
      </c>
      <c r="H233" s="1">
        <v>10219</v>
      </c>
      <c r="I233" s="5">
        <v>15</v>
      </c>
      <c r="J233" s="1" t="s">
        <v>24</v>
      </c>
      <c r="K233" s="1" t="s">
        <v>25</v>
      </c>
      <c r="L233" s="1">
        <f t="shared" si="16"/>
        <v>51095</v>
      </c>
      <c r="M233" s="1">
        <f t="shared" si="15"/>
        <v>7664.25</v>
      </c>
      <c r="N233" s="1">
        <f t="shared" si="17"/>
        <v>43430.75</v>
      </c>
      <c r="O233" s="1" t="str">
        <f t="shared" si="18"/>
        <v>January</v>
      </c>
      <c r="P233" s="1">
        <f t="shared" si="19"/>
        <v>2026</v>
      </c>
    </row>
    <row r="234" spans="1:16">
      <c r="A234" s="1">
        <v>1256</v>
      </c>
      <c r="B234" s="2">
        <v>46069</v>
      </c>
      <c r="C234" s="1" t="s">
        <v>39</v>
      </c>
      <c r="D234" s="1" t="s">
        <v>45</v>
      </c>
      <c r="E234" s="1" t="s">
        <v>27</v>
      </c>
      <c r="F234" s="1" t="s">
        <v>28</v>
      </c>
      <c r="G234" s="1">
        <v>8</v>
      </c>
      <c r="H234" s="1">
        <v>10470</v>
      </c>
      <c r="I234" s="5">
        <v>5</v>
      </c>
      <c r="J234" s="1" t="s">
        <v>24</v>
      </c>
      <c r="K234" s="1" t="s">
        <v>29</v>
      </c>
      <c r="L234" s="1">
        <f t="shared" si="16"/>
        <v>83760</v>
      </c>
      <c r="M234" s="1">
        <f t="shared" si="15"/>
        <v>4188</v>
      </c>
      <c r="N234" s="1">
        <f t="shared" si="17"/>
        <v>79572</v>
      </c>
      <c r="O234" s="1" t="str">
        <f t="shared" si="18"/>
        <v>February</v>
      </c>
      <c r="P234" s="1">
        <f t="shared" si="19"/>
        <v>2026</v>
      </c>
    </row>
    <row r="235" spans="1:16">
      <c r="A235" s="1">
        <v>1257</v>
      </c>
      <c r="B235" s="2">
        <v>46091</v>
      </c>
      <c r="C235" s="1" t="s">
        <v>43</v>
      </c>
      <c r="D235" s="1" t="s">
        <v>31</v>
      </c>
      <c r="E235" s="1" t="s">
        <v>32</v>
      </c>
      <c r="F235" s="1" t="s">
        <v>28</v>
      </c>
      <c r="G235" s="1">
        <v>4</v>
      </c>
      <c r="H235" s="1">
        <v>1214</v>
      </c>
      <c r="I235" s="5">
        <v>10</v>
      </c>
      <c r="J235" s="1" t="s">
        <v>24</v>
      </c>
      <c r="K235" s="1" t="s">
        <v>29</v>
      </c>
      <c r="L235" s="1">
        <f t="shared" si="16"/>
        <v>4856</v>
      </c>
      <c r="M235" s="1">
        <f t="shared" si="15"/>
        <v>485.6</v>
      </c>
      <c r="N235" s="1">
        <f t="shared" si="17"/>
        <v>4370.3999999999996</v>
      </c>
      <c r="O235" s="1" t="str">
        <f t="shared" si="18"/>
        <v>March</v>
      </c>
      <c r="P235" s="1">
        <f t="shared" si="19"/>
        <v>2026</v>
      </c>
    </row>
    <row r="236" spans="1:16">
      <c r="A236" s="1">
        <v>1258</v>
      </c>
      <c r="B236" s="2">
        <v>46106</v>
      </c>
      <c r="C236" s="1" t="s">
        <v>26</v>
      </c>
      <c r="D236" s="1" t="s">
        <v>17</v>
      </c>
      <c r="E236" s="1" t="s">
        <v>34</v>
      </c>
      <c r="F236" s="1" t="s">
        <v>19</v>
      </c>
      <c r="G236" s="1">
        <v>10</v>
      </c>
      <c r="H236" s="1">
        <v>14869</v>
      </c>
      <c r="I236" s="5">
        <v>10</v>
      </c>
      <c r="J236" s="1" t="s">
        <v>20</v>
      </c>
      <c r="K236" s="1" t="s">
        <v>29</v>
      </c>
      <c r="L236" s="1">
        <f t="shared" si="16"/>
        <v>148690</v>
      </c>
      <c r="M236" s="1">
        <f t="shared" si="15"/>
        <v>14869</v>
      </c>
      <c r="N236" s="1">
        <f t="shared" si="17"/>
        <v>133821</v>
      </c>
      <c r="O236" s="1" t="str">
        <f t="shared" si="18"/>
        <v>March</v>
      </c>
      <c r="P236" s="1">
        <f t="shared" si="19"/>
        <v>2026</v>
      </c>
    </row>
    <row r="237" spans="1:16">
      <c r="A237" s="1">
        <v>1259</v>
      </c>
      <c r="B237" s="2">
        <v>46090</v>
      </c>
      <c r="C237" s="1" t="s">
        <v>42</v>
      </c>
      <c r="D237" s="1" t="s">
        <v>31</v>
      </c>
      <c r="E237" s="1" t="s">
        <v>38</v>
      </c>
      <c r="F237" s="1" t="s">
        <v>28</v>
      </c>
      <c r="G237" s="1">
        <v>8</v>
      </c>
      <c r="H237" s="1">
        <v>3660</v>
      </c>
      <c r="I237" s="5">
        <v>15</v>
      </c>
      <c r="J237" s="1" t="s">
        <v>20</v>
      </c>
      <c r="K237" s="1" t="s">
        <v>29</v>
      </c>
      <c r="L237" s="1">
        <f t="shared" si="16"/>
        <v>29280</v>
      </c>
      <c r="M237" s="1">
        <f t="shared" si="15"/>
        <v>4392</v>
      </c>
      <c r="N237" s="1">
        <f t="shared" si="17"/>
        <v>24888</v>
      </c>
      <c r="O237" s="1" t="str">
        <f t="shared" si="18"/>
        <v>March</v>
      </c>
      <c r="P237" s="1">
        <f t="shared" si="19"/>
        <v>2026</v>
      </c>
    </row>
    <row r="238" spans="1:16">
      <c r="A238" s="1">
        <v>1260</v>
      </c>
      <c r="B238" s="2">
        <v>46051</v>
      </c>
      <c r="C238" s="1" t="s">
        <v>39</v>
      </c>
      <c r="D238" s="1" t="s">
        <v>41</v>
      </c>
      <c r="E238" s="1" t="s">
        <v>35</v>
      </c>
      <c r="F238" s="1" t="s">
        <v>19</v>
      </c>
      <c r="G238" s="1">
        <v>9</v>
      </c>
      <c r="H238" s="1">
        <v>9021</v>
      </c>
      <c r="I238" s="5">
        <v>5</v>
      </c>
      <c r="J238" s="1" t="s">
        <v>20</v>
      </c>
      <c r="K238" s="1" t="s">
        <v>21</v>
      </c>
      <c r="L238" s="1">
        <f t="shared" si="16"/>
        <v>81189</v>
      </c>
      <c r="M238" s="1">
        <f t="shared" si="15"/>
        <v>4059.4500000000003</v>
      </c>
      <c r="N238" s="1">
        <f t="shared" si="17"/>
        <v>77129.55</v>
      </c>
      <c r="O238" s="1" t="str">
        <f t="shared" si="18"/>
        <v>January</v>
      </c>
      <c r="P238" s="1">
        <f t="shared" si="19"/>
        <v>2026</v>
      </c>
    </row>
    <row r="239" spans="1:16">
      <c r="A239" s="1">
        <v>1261</v>
      </c>
      <c r="B239" s="2">
        <v>46028</v>
      </c>
      <c r="C239" s="1" t="s">
        <v>33</v>
      </c>
      <c r="D239" s="1" t="s">
        <v>37</v>
      </c>
      <c r="E239" s="1" t="s">
        <v>32</v>
      </c>
      <c r="F239" s="1" t="s">
        <v>28</v>
      </c>
      <c r="G239" s="1">
        <v>1</v>
      </c>
      <c r="H239" s="1">
        <v>1516</v>
      </c>
      <c r="I239" s="5">
        <v>5</v>
      </c>
      <c r="J239" s="1" t="s">
        <v>24</v>
      </c>
      <c r="K239" s="1" t="s">
        <v>29</v>
      </c>
      <c r="L239" s="1">
        <f t="shared" si="16"/>
        <v>1516</v>
      </c>
      <c r="M239" s="1">
        <f t="shared" si="15"/>
        <v>75.8</v>
      </c>
      <c r="N239" s="1">
        <f t="shared" si="17"/>
        <v>1440.2</v>
      </c>
      <c r="O239" s="1" t="str">
        <f t="shared" si="18"/>
        <v>January</v>
      </c>
      <c r="P239" s="1">
        <f t="shared" si="19"/>
        <v>2026</v>
      </c>
    </row>
    <row r="240" spans="1:16">
      <c r="A240" s="1">
        <v>1262</v>
      </c>
      <c r="B240" s="2">
        <v>46105</v>
      </c>
      <c r="C240" s="1" t="s">
        <v>33</v>
      </c>
      <c r="D240" s="1" t="s">
        <v>17</v>
      </c>
      <c r="E240" s="1" t="s">
        <v>38</v>
      </c>
      <c r="F240" s="1" t="s">
        <v>28</v>
      </c>
      <c r="G240" s="1">
        <v>1</v>
      </c>
      <c r="H240" s="1">
        <v>3479</v>
      </c>
      <c r="I240" s="5">
        <v>10</v>
      </c>
      <c r="J240" s="1" t="s">
        <v>24</v>
      </c>
      <c r="K240" s="1" t="s">
        <v>21</v>
      </c>
      <c r="L240" s="1">
        <f t="shared" si="16"/>
        <v>3479</v>
      </c>
      <c r="M240" s="1">
        <f t="shared" si="15"/>
        <v>347.90000000000003</v>
      </c>
      <c r="N240" s="1">
        <f t="shared" si="17"/>
        <v>3131.1</v>
      </c>
      <c r="O240" s="1" t="str">
        <f t="shared" si="18"/>
        <v>March</v>
      </c>
      <c r="P240" s="1">
        <f t="shared" si="19"/>
        <v>2026</v>
      </c>
    </row>
    <row r="241" spans="1:16">
      <c r="A241" s="1">
        <v>1263</v>
      </c>
      <c r="B241" s="2">
        <v>46041</v>
      </c>
      <c r="C241" s="1" t="s">
        <v>16</v>
      </c>
      <c r="D241" s="1" t="s">
        <v>17</v>
      </c>
      <c r="E241" s="1" t="s">
        <v>32</v>
      </c>
      <c r="F241" s="1" t="s">
        <v>28</v>
      </c>
      <c r="G241" s="1">
        <v>7</v>
      </c>
      <c r="H241" s="1">
        <v>1564</v>
      </c>
      <c r="I241" s="5">
        <v>15</v>
      </c>
      <c r="J241" s="1" t="s">
        <v>24</v>
      </c>
      <c r="K241" s="1" t="s">
        <v>25</v>
      </c>
      <c r="L241" s="1">
        <f t="shared" si="16"/>
        <v>10948</v>
      </c>
      <c r="M241" s="1">
        <f t="shared" si="15"/>
        <v>1642.2</v>
      </c>
      <c r="N241" s="1">
        <f t="shared" si="17"/>
        <v>9305.7999999999993</v>
      </c>
      <c r="O241" s="1" t="str">
        <f t="shared" si="18"/>
        <v>January</v>
      </c>
      <c r="P241" s="1">
        <f t="shared" si="19"/>
        <v>2026</v>
      </c>
    </row>
    <row r="242" spans="1:16">
      <c r="A242" s="1">
        <v>1264</v>
      </c>
      <c r="B242" s="2">
        <v>46067</v>
      </c>
      <c r="C242" s="1" t="s">
        <v>33</v>
      </c>
      <c r="D242" s="1" t="s">
        <v>17</v>
      </c>
      <c r="E242" s="1" t="s">
        <v>18</v>
      </c>
      <c r="F242" s="1" t="s">
        <v>19</v>
      </c>
      <c r="G242" s="1">
        <v>6</v>
      </c>
      <c r="H242" s="1">
        <v>635</v>
      </c>
      <c r="I242" s="5">
        <v>10</v>
      </c>
      <c r="J242" s="1" t="s">
        <v>24</v>
      </c>
      <c r="K242" s="1" t="s">
        <v>25</v>
      </c>
      <c r="L242" s="1">
        <f t="shared" si="16"/>
        <v>3810</v>
      </c>
      <c r="M242" s="1">
        <f t="shared" si="15"/>
        <v>381</v>
      </c>
      <c r="N242" s="1">
        <f t="shared" si="17"/>
        <v>3429</v>
      </c>
      <c r="O242" s="1" t="str">
        <f t="shared" si="18"/>
        <v>February</v>
      </c>
      <c r="P242" s="1">
        <f t="shared" si="19"/>
        <v>2026</v>
      </c>
    </row>
    <row r="243" spans="1:16">
      <c r="A243" s="1">
        <v>1265</v>
      </c>
      <c r="B243" s="2">
        <v>46086</v>
      </c>
      <c r="C243" s="1" t="s">
        <v>43</v>
      </c>
      <c r="D243" s="1" t="s">
        <v>45</v>
      </c>
      <c r="E243" s="1" t="s">
        <v>23</v>
      </c>
      <c r="F243" s="1" t="s">
        <v>19</v>
      </c>
      <c r="G243" s="1">
        <v>7</v>
      </c>
      <c r="H243" s="1">
        <v>944</v>
      </c>
      <c r="I243" s="5">
        <v>0</v>
      </c>
      <c r="J243" s="1" t="s">
        <v>24</v>
      </c>
      <c r="K243" s="1" t="s">
        <v>29</v>
      </c>
      <c r="L243" s="1">
        <f t="shared" si="16"/>
        <v>6608</v>
      </c>
      <c r="M243" s="1">
        <f t="shared" si="15"/>
        <v>0</v>
      </c>
      <c r="N243" s="1">
        <f t="shared" si="17"/>
        <v>6608</v>
      </c>
      <c r="O243" s="1" t="str">
        <f t="shared" si="18"/>
        <v>March</v>
      </c>
      <c r="P243" s="1">
        <f t="shared" si="19"/>
        <v>2026</v>
      </c>
    </row>
    <row r="244" spans="1:16">
      <c r="A244" s="1">
        <v>1267</v>
      </c>
      <c r="B244" s="2">
        <v>46065</v>
      </c>
      <c r="C244" s="1" t="s">
        <v>16</v>
      </c>
      <c r="D244" s="1" t="s">
        <v>37</v>
      </c>
      <c r="E244" s="1" t="s">
        <v>44</v>
      </c>
      <c r="F244" s="1" t="s">
        <v>19</v>
      </c>
      <c r="G244" s="1">
        <v>1</v>
      </c>
      <c r="H244" s="1">
        <v>6580</v>
      </c>
      <c r="I244" s="5">
        <v>5</v>
      </c>
      <c r="J244" s="1" t="s">
        <v>24</v>
      </c>
      <c r="K244" s="1" t="s">
        <v>29</v>
      </c>
      <c r="L244" s="1">
        <f t="shared" si="16"/>
        <v>6580</v>
      </c>
      <c r="M244" s="1">
        <f t="shared" si="15"/>
        <v>329</v>
      </c>
      <c r="N244" s="1">
        <f t="shared" si="17"/>
        <v>6251</v>
      </c>
      <c r="O244" s="1" t="str">
        <f t="shared" si="18"/>
        <v>February</v>
      </c>
      <c r="P244" s="1">
        <f t="shared" si="19"/>
        <v>2026</v>
      </c>
    </row>
    <row r="245" spans="1:16">
      <c r="A245" s="1">
        <v>1268</v>
      </c>
      <c r="B245" s="2">
        <v>46096</v>
      </c>
      <c r="C245" s="1" t="s">
        <v>36</v>
      </c>
      <c r="D245" s="1" t="s">
        <v>31</v>
      </c>
      <c r="E245" s="1" t="s">
        <v>32</v>
      </c>
      <c r="F245" s="1" t="s">
        <v>28</v>
      </c>
      <c r="G245" s="1">
        <v>9</v>
      </c>
      <c r="H245" s="1">
        <v>1501</v>
      </c>
      <c r="I245" s="5">
        <v>5</v>
      </c>
      <c r="J245" s="1" t="s">
        <v>20</v>
      </c>
      <c r="K245" s="1" t="s">
        <v>25</v>
      </c>
      <c r="L245" s="1">
        <f t="shared" si="16"/>
        <v>13509</v>
      </c>
      <c r="M245" s="1">
        <f t="shared" si="15"/>
        <v>675.45</v>
      </c>
      <c r="N245" s="1">
        <f t="shared" si="17"/>
        <v>12833.55</v>
      </c>
      <c r="O245" s="1" t="str">
        <f t="shared" si="18"/>
        <v>March</v>
      </c>
      <c r="P245" s="1">
        <f t="shared" si="19"/>
        <v>2026</v>
      </c>
    </row>
    <row r="246" spans="1:16">
      <c r="A246" s="1">
        <v>1269</v>
      </c>
      <c r="B246" s="2">
        <v>46040</v>
      </c>
      <c r="C246" s="1" t="s">
        <v>22</v>
      </c>
      <c r="D246" s="1" t="s">
        <v>37</v>
      </c>
      <c r="E246" s="1" t="s">
        <v>27</v>
      </c>
      <c r="F246" s="1" t="s">
        <v>28</v>
      </c>
      <c r="G246" s="1">
        <v>2</v>
      </c>
      <c r="H246" s="1">
        <v>10302</v>
      </c>
      <c r="I246" s="5">
        <v>5</v>
      </c>
      <c r="J246" s="1" t="s">
        <v>20</v>
      </c>
      <c r="K246" s="1" t="s">
        <v>29</v>
      </c>
      <c r="L246" s="1">
        <f t="shared" si="16"/>
        <v>20604</v>
      </c>
      <c r="M246" s="1">
        <f t="shared" si="15"/>
        <v>1030.2</v>
      </c>
      <c r="N246" s="1">
        <f t="shared" si="17"/>
        <v>19573.8</v>
      </c>
      <c r="O246" s="1" t="str">
        <f t="shared" si="18"/>
        <v>January</v>
      </c>
      <c r="P246" s="1">
        <f t="shared" si="19"/>
        <v>2026</v>
      </c>
    </row>
    <row r="247" spans="1:16">
      <c r="A247" s="1">
        <v>1270</v>
      </c>
      <c r="B247" s="2">
        <v>46048</v>
      </c>
      <c r="C247" s="1" t="s">
        <v>29</v>
      </c>
      <c r="D247" s="1" t="s">
        <v>37</v>
      </c>
      <c r="E247" s="1" t="s">
        <v>27</v>
      </c>
      <c r="F247" s="1" t="s">
        <v>28</v>
      </c>
      <c r="G247" s="1">
        <v>10</v>
      </c>
      <c r="H247" s="1">
        <v>9608</v>
      </c>
      <c r="I247" s="5">
        <v>15</v>
      </c>
      <c r="J247" s="1" t="s">
        <v>24</v>
      </c>
      <c r="K247" s="1" t="s">
        <v>25</v>
      </c>
      <c r="L247" s="1">
        <f t="shared" si="16"/>
        <v>96080</v>
      </c>
      <c r="M247" s="1">
        <f t="shared" si="15"/>
        <v>14412</v>
      </c>
      <c r="N247" s="1">
        <f t="shared" si="17"/>
        <v>81668</v>
      </c>
      <c r="O247" s="1" t="str">
        <f t="shared" si="18"/>
        <v>January</v>
      </c>
      <c r="P247" s="1">
        <f t="shared" si="19"/>
        <v>2026</v>
      </c>
    </row>
    <row r="248" spans="1:16">
      <c r="A248" s="1">
        <v>1271</v>
      </c>
      <c r="B248" s="2">
        <v>46058</v>
      </c>
      <c r="C248" s="1" t="s">
        <v>39</v>
      </c>
      <c r="D248" s="1" t="s">
        <v>45</v>
      </c>
      <c r="E248" s="1" t="s">
        <v>23</v>
      </c>
      <c r="F248" s="1" t="s">
        <v>19</v>
      </c>
      <c r="G248" s="1">
        <v>1</v>
      </c>
      <c r="H248" s="1">
        <v>1280</v>
      </c>
      <c r="I248" s="5">
        <v>10</v>
      </c>
      <c r="J248" s="1" t="s">
        <v>20</v>
      </c>
      <c r="K248" s="1" t="s">
        <v>29</v>
      </c>
      <c r="L248" s="1">
        <f t="shared" si="16"/>
        <v>1280</v>
      </c>
      <c r="M248" s="1">
        <f t="shared" si="15"/>
        <v>128</v>
      </c>
      <c r="N248" s="1">
        <f t="shared" si="17"/>
        <v>1152</v>
      </c>
      <c r="O248" s="1" t="str">
        <f t="shared" si="18"/>
        <v>February</v>
      </c>
      <c r="P248" s="1">
        <f t="shared" si="19"/>
        <v>2026</v>
      </c>
    </row>
    <row r="249" spans="1:16">
      <c r="A249" s="1">
        <v>1272</v>
      </c>
      <c r="B249" s="2">
        <v>46095</v>
      </c>
      <c r="C249" s="1" t="s">
        <v>30</v>
      </c>
      <c r="D249" s="1" t="s">
        <v>17</v>
      </c>
      <c r="E249" s="1" t="s">
        <v>18</v>
      </c>
      <c r="F249" s="1" t="s">
        <v>19</v>
      </c>
      <c r="G249" s="1">
        <v>7</v>
      </c>
      <c r="H249" s="1">
        <v>9</v>
      </c>
      <c r="I249" s="5">
        <v>10</v>
      </c>
      <c r="J249" s="1" t="s">
        <v>24</v>
      </c>
      <c r="K249" s="1" t="s">
        <v>29</v>
      </c>
      <c r="L249" s="1">
        <f t="shared" si="16"/>
        <v>63</v>
      </c>
      <c r="M249" s="1">
        <f t="shared" si="15"/>
        <v>6.3000000000000007</v>
      </c>
      <c r="N249" s="1">
        <f t="shared" si="17"/>
        <v>56.7</v>
      </c>
      <c r="O249" s="1" t="str">
        <f t="shared" si="18"/>
        <v>March</v>
      </c>
      <c r="P249" s="1">
        <f t="shared" si="19"/>
        <v>2026</v>
      </c>
    </row>
    <row r="250" spans="1:16">
      <c r="A250" s="1">
        <v>1273</v>
      </c>
      <c r="B250" s="2">
        <v>46037</v>
      </c>
      <c r="C250" s="1" t="s">
        <v>22</v>
      </c>
      <c r="D250" s="1" t="s">
        <v>31</v>
      </c>
      <c r="E250" s="1" t="s">
        <v>38</v>
      </c>
      <c r="F250" s="1" t="s">
        <v>28</v>
      </c>
      <c r="G250" s="1">
        <v>9</v>
      </c>
      <c r="H250" s="1">
        <v>3567</v>
      </c>
      <c r="I250" s="5">
        <v>15</v>
      </c>
      <c r="J250" s="1" t="s">
        <v>20</v>
      </c>
      <c r="K250" s="1" t="s">
        <v>29</v>
      </c>
      <c r="L250" s="1">
        <f t="shared" si="16"/>
        <v>32103</v>
      </c>
      <c r="M250" s="1">
        <f t="shared" si="15"/>
        <v>4815.45</v>
      </c>
      <c r="N250" s="1">
        <f t="shared" si="17"/>
        <v>27287.55</v>
      </c>
      <c r="O250" s="1" t="str">
        <f t="shared" si="18"/>
        <v>January</v>
      </c>
      <c r="P250" s="1">
        <f t="shared" si="19"/>
        <v>2026</v>
      </c>
    </row>
    <row r="251" spans="1:16">
      <c r="A251" s="1">
        <v>1274</v>
      </c>
      <c r="B251" s="2">
        <v>46074</v>
      </c>
      <c r="C251" s="1" t="s">
        <v>39</v>
      </c>
      <c r="D251" s="1" t="s">
        <v>17</v>
      </c>
      <c r="E251" s="1" t="s">
        <v>27</v>
      </c>
      <c r="F251" s="1" t="s">
        <v>28</v>
      </c>
      <c r="G251" s="1">
        <v>10</v>
      </c>
      <c r="H251" s="1">
        <v>9888</v>
      </c>
      <c r="I251" s="5">
        <v>15</v>
      </c>
      <c r="J251" s="1" t="s">
        <v>20</v>
      </c>
      <c r="K251" s="1" t="s">
        <v>25</v>
      </c>
      <c r="L251" s="1">
        <f t="shared" si="16"/>
        <v>98880</v>
      </c>
      <c r="M251" s="1">
        <f t="shared" si="15"/>
        <v>14832</v>
      </c>
      <c r="N251" s="1">
        <f t="shared" si="17"/>
        <v>84048</v>
      </c>
      <c r="O251" s="1" t="str">
        <f t="shared" si="18"/>
        <v>February</v>
      </c>
      <c r="P251" s="1">
        <f t="shared" si="19"/>
        <v>2026</v>
      </c>
    </row>
    <row r="252" spans="1:16">
      <c r="A252" s="1">
        <v>1275</v>
      </c>
      <c r="B252" s="2">
        <v>46023</v>
      </c>
      <c r="C252" s="1" t="s">
        <v>40</v>
      </c>
      <c r="D252" s="1" t="s">
        <v>31</v>
      </c>
      <c r="E252" s="1" t="s">
        <v>27</v>
      </c>
      <c r="F252" s="1" t="s">
        <v>28</v>
      </c>
      <c r="G252" s="1">
        <v>10</v>
      </c>
      <c r="H252" s="1">
        <v>9677</v>
      </c>
      <c r="I252" s="5">
        <v>5</v>
      </c>
      <c r="J252" s="1" t="s">
        <v>20</v>
      </c>
      <c r="K252" s="1" t="s">
        <v>21</v>
      </c>
      <c r="L252" s="1">
        <f t="shared" si="16"/>
        <v>96770</v>
      </c>
      <c r="M252" s="1">
        <f t="shared" si="15"/>
        <v>4838.5</v>
      </c>
      <c r="N252" s="1">
        <f t="shared" si="17"/>
        <v>91931.5</v>
      </c>
      <c r="O252" s="1" t="str">
        <f t="shared" si="18"/>
        <v>January</v>
      </c>
      <c r="P252" s="1">
        <f t="shared" si="19"/>
        <v>2026</v>
      </c>
    </row>
    <row r="253" spans="1:16">
      <c r="A253" s="1">
        <v>1276</v>
      </c>
      <c r="B253" s="2">
        <v>46062</v>
      </c>
      <c r="C253" s="1" t="s">
        <v>36</v>
      </c>
      <c r="D253" s="1" t="s">
        <v>17</v>
      </c>
      <c r="E253" s="1" t="s">
        <v>32</v>
      </c>
      <c r="F253" s="1" t="s">
        <v>28</v>
      </c>
      <c r="G253" s="1">
        <v>3</v>
      </c>
      <c r="H253" s="1">
        <v>792</v>
      </c>
      <c r="I253" s="5">
        <v>0</v>
      </c>
      <c r="J253" s="1" t="s">
        <v>20</v>
      </c>
      <c r="K253" s="1" t="s">
        <v>25</v>
      </c>
      <c r="L253" s="1">
        <f t="shared" si="16"/>
        <v>2376</v>
      </c>
      <c r="M253" s="1">
        <f t="shared" si="15"/>
        <v>0</v>
      </c>
      <c r="N253" s="1">
        <f t="shared" si="17"/>
        <v>2376</v>
      </c>
      <c r="O253" s="1" t="str">
        <f t="shared" si="18"/>
        <v>February</v>
      </c>
      <c r="P253" s="1">
        <f t="shared" si="19"/>
        <v>2026</v>
      </c>
    </row>
    <row r="254" spans="1:16">
      <c r="A254" s="1">
        <v>1277</v>
      </c>
      <c r="B254" s="2">
        <v>46078</v>
      </c>
      <c r="C254" s="1" t="s">
        <v>22</v>
      </c>
      <c r="D254" s="1" t="s">
        <v>17</v>
      </c>
      <c r="E254" s="1" t="s">
        <v>23</v>
      </c>
      <c r="F254" s="1" t="s">
        <v>19</v>
      </c>
      <c r="G254" s="1">
        <v>4</v>
      </c>
      <c r="H254" s="1">
        <v>670</v>
      </c>
      <c r="I254" s="5">
        <v>5</v>
      </c>
      <c r="J254" s="1" t="s">
        <v>24</v>
      </c>
      <c r="K254" s="1" t="s">
        <v>21</v>
      </c>
      <c r="L254" s="1">
        <f t="shared" si="16"/>
        <v>2680</v>
      </c>
      <c r="M254" s="1">
        <f t="shared" si="15"/>
        <v>134</v>
      </c>
      <c r="N254" s="1">
        <f t="shared" si="17"/>
        <v>2546</v>
      </c>
      <c r="O254" s="1" t="str">
        <f t="shared" si="18"/>
        <v>February</v>
      </c>
      <c r="P254" s="1">
        <f t="shared" si="19"/>
        <v>2026</v>
      </c>
    </row>
    <row r="255" spans="1:16">
      <c r="A255" s="1">
        <v>1278</v>
      </c>
      <c r="B255" s="2">
        <v>46073</v>
      </c>
      <c r="C255" s="1" t="s">
        <v>43</v>
      </c>
      <c r="D255" s="1" t="s">
        <v>31</v>
      </c>
      <c r="E255" s="1" t="s">
        <v>18</v>
      </c>
      <c r="F255" s="1" t="s">
        <v>19</v>
      </c>
      <c r="G255" s="1">
        <v>10</v>
      </c>
      <c r="H255" s="1">
        <v>823</v>
      </c>
      <c r="I255" s="5">
        <v>15</v>
      </c>
      <c r="J255" s="1" t="s">
        <v>20</v>
      </c>
      <c r="K255" s="1" t="s">
        <v>29</v>
      </c>
      <c r="L255" s="1">
        <f t="shared" si="16"/>
        <v>8230</v>
      </c>
      <c r="M255" s="1">
        <f t="shared" si="15"/>
        <v>1234.5</v>
      </c>
      <c r="N255" s="1">
        <f t="shared" si="17"/>
        <v>6995.5</v>
      </c>
      <c r="O255" s="1" t="str">
        <f t="shared" si="18"/>
        <v>February</v>
      </c>
      <c r="P255" s="1">
        <f t="shared" si="19"/>
        <v>2026</v>
      </c>
    </row>
    <row r="256" spans="1:16">
      <c r="A256" s="1">
        <v>1279</v>
      </c>
      <c r="B256" s="2">
        <v>46074</v>
      </c>
      <c r="C256" s="1" t="s">
        <v>26</v>
      </c>
      <c r="D256" s="1" t="s">
        <v>31</v>
      </c>
      <c r="E256" s="1" t="s">
        <v>32</v>
      </c>
      <c r="F256" s="1" t="s">
        <v>28</v>
      </c>
      <c r="G256" s="1">
        <v>7</v>
      </c>
      <c r="H256" s="1">
        <v>700</v>
      </c>
      <c r="I256" s="5">
        <v>10</v>
      </c>
      <c r="J256" s="1" t="s">
        <v>20</v>
      </c>
      <c r="K256" s="1" t="s">
        <v>25</v>
      </c>
      <c r="L256" s="1">
        <f t="shared" si="16"/>
        <v>4900</v>
      </c>
      <c r="M256" s="1">
        <f t="shared" si="15"/>
        <v>490</v>
      </c>
      <c r="N256" s="1">
        <f t="shared" si="17"/>
        <v>4410</v>
      </c>
      <c r="O256" s="1" t="str">
        <f t="shared" si="18"/>
        <v>February</v>
      </c>
      <c r="P256" s="1">
        <f t="shared" si="19"/>
        <v>2026</v>
      </c>
    </row>
    <row r="257" spans="1:16">
      <c r="A257" s="1">
        <v>1280</v>
      </c>
      <c r="B257" s="2">
        <v>46025</v>
      </c>
      <c r="C257" s="1" t="s">
        <v>16</v>
      </c>
      <c r="D257" s="1" t="s">
        <v>31</v>
      </c>
      <c r="E257" s="1" t="s">
        <v>18</v>
      </c>
      <c r="F257" s="1" t="s">
        <v>19</v>
      </c>
      <c r="G257" s="1">
        <v>6</v>
      </c>
      <c r="H257" s="1">
        <v>130</v>
      </c>
      <c r="I257" s="5">
        <v>0</v>
      </c>
      <c r="J257" s="1" t="s">
        <v>24</v>
      </c>
      <c r="K257" s="1" t="s">
        <v>25</v>
      </c>
      <c r="L257" s="1">
        <f t="shared" si="16"/>
        <v>780</v>
      </c>
      <c r="M257" s="1">
        <f t="shared" si="15"/>
        <v>0</v>
      </c>
      <c r="N257" s="1">
        <f t="shared" si="17"/>
        <v>780</v>
      </c>
      <c r="O257" s="1" t="str">
        <f t="shared" si="18"/>
        <v>January</v>
      </c>
      <c r="P257" s="1">
        <f t="shared" si="19"/>
        <v>2026</v>
      </c>
    </row>
    <row r="258" spans="1:16">
      <c r="A258" s="1">
        <v>1281</v>
      </c>
      <c r="B258" s="2">
        <v>46044</v>
      </c>
      <c r="C258" s="1" t="s">
        <v>16</v>
      </c>
      <c r="D258" s="1" t="s">
        <v>37</v>
      </c>
      <c r="E258" s="1" t="s">
        <v>32</v>
      </c>
      <c r="F258" s="1" t="s">
        <v>28</v>
      </c>
      <c r="G258" s="1">
        <v>1</v>
      </c>
      <c r="H258" s="1">
        <v>789</v>
      </c>
      <c r="I258" s="5">
        <v>5</v>
      </c>
      <c r="J258" s="1" t="s">
        <v>20</v>
      </c>
      <c r="K258" s="1" t="s">
        <v>21</v>
      </c>
      <c r="L258" s="1">
        <f t="shared" si="16"/>
        <v>789</v>
      </c>
      <c r="M258" s="1">
        <f t="shared" ref="M258:M321" si="20">L258*(I258/100)</f>
        <v>39.450000000000003</v>
      </c>
      <c r="N258" s="1">
        <f t="shared" si="17"/>
        <v>749.55</v>
      </c>
      <c r="O258" s="1" t="str">
        <f t="shared" si="18"/>
        <v>January</v>
      </c>
      <c r="P258" s="1">
        <f t="shared" si="19"/>
        <v>2026</v>
      </c>
    </row>
    <row r="259" spans="1:16">
      <c r="A259" s="1">
        <v>1282</v>
      </c>
      <c r="B259" s="2">
        <v>46085</v>
      </c>
      <c r="C259" s="1" t="s">
        <v>29</v>
      </c>
      <c r="D259" s="1" t="s">
        <v>17</v>
      </c>
      <c r="E259" s="1" t="s">
        <v>27</v>
      </c>
      <c r="F259" s="1" t="s">
        <v>28</v>
      </c>
      <c r="G259" s="1">
        <v>1</v>
      </c>
      <c r="H259" s="1">
        <v>10163</v>
      </c>
      <c r="I259" s="5">
        <v>10</v>
      </c>
      <c r="J259" s="1" t="s">
        <v>20</v>
      </c>
      <c r="K259" s="1" t="s">
        <v>29</v>
      </c>
      <c r="L259" s="1">
        <f t="shared" ref="L259:L322" si="21">G259*H259</f>
        <v>10163</v>
      </c>
      <c r="M259" s="1">
        <f t="shared" si="20"/>
        <v>1016.3000000000001</v>
      </c>
      <c r="N259" s="1">
        <f t="shared" ref="N259:N322" si="22">L259-M259</f>
        <v>9146.7000000000007</v>
      </c>
      <c r="O259" s="1" t="str">
        <f t="shared" ref="O259:O322" si="23">TEXT(B259,"mmmm")</f>
        <v>March</v>
      </c>
      <c r="P259" s="1">
        <f t="shared" ref="P259:P322" si="24">YEAR(B259)</f>
        <v>2026</v>
      </c>
    </row>
    <row r="260" spans="1:16">
      <c r="A260" s="1">
        <v>1283</v>
      </c>
      <c r="B260" s="2">
        <v>46084</v>
      </c>
      <c r="C260" s="1" t="s">
        <v>39</v>
      </c>
      <c r="D260" s="1" t="s">
        <v>31</v>
      </c>
      <c r="E260" s="1" t="s">
        <v>23</v>
      </c>
      <c r="F260" s="1" t="s">
        <v>19</v>
      </c>
      <c r="G260" s="1">
        <v>10</v>
      </c>
      <c r="H260" s="1">
        <v>1208</v>
      </c>
      <c r="I260" s="5">
        <v>10</v>
      </c>
      <c r="J260" s="1" t="s">
        <v>20</v>
      </c>
      <c r="K260" s="1" t="s">
        <v>29</v>
      </c>
      <c r="L260" s="1">
        <f t="shared" si="21"/>
        <v>12080</v>
      </c>
      <c r="M260" s="1">
        <f t="shared" si="20"/>
        <v>1208</v>
      </c>
      <c r="N260" s="1">
        <f t="shared" si="22"/>
        <v>10872</v>
      </c>
      <c r="O260" s="1" t="str">
        <f t="shared" si="23"/>
        <v>March</v>
      </c>
      <c r="P260" s="1">
        <f t="shared" si="24"/>
        <v>2026</v>
      </c>
    </row>
    <row r="261" spans="1:16">
      <c r="A261" s="1">
        <v>1284</v>
      </c>
      <c r="B261" s="2">
        <v>46097</v>
      </c>
      <c r="C261" s="1" t="s">
        <v>26</v>
      </c>
      <c r="D261" s="1" t="s">
        <v>31</v>
      </c>
      <c r="E261" s="1" t="s">
        <v>38</v>
      </c>
      <c r="F261" s="1" t="s">
        <v>28</v>
      </c>
      <c r="G261" s="1">
        <v>6</v>
      </c>
      <c r="H261" s="1">
        <v>3774</v>
      </c>
      <c r="I261" s="5">
        <v>5</v>
      </c>
      <c r="J261" s="1" t="s">
        <v>24</v>
      </c>
      <c r="K261" s="1" t="s">
        <v>29</v>
      </c>
      <c r="L261" s="1">
        <f t="shared" si="21"/>
        <v>22644</v>
      </c>
      <c r="M261" s="1">
        <f t="shared" si="20"/>
        <v>1132.2</v>
      </c>
      <c r="N261" s="1">
        <f t="shared" si="22"/>
        <v>21511.8</v>
      </c>
      <c r="O261" s="1" t="str">
        <f t="shared" si="23"/>
        <v>March</v>
      </c>
      <c r="P261" s="1">
        <f t="shared" si="24"/>
        <v>2026</v>
      </c>
    </row>
    <row r="262" spans="1:16">
      <c r="A262" s="1">
        <v>1285</v>
      </c>
      <c r="B262" s="2">
        <v>46082</v>
      </c>
      <c r="C262" s="1" t="s">
        <v>21</v>
      </c>
      <c r="D262" s="1" t="s">
        <v>41</v>
      </c>
      <c r="E262" s="1" t="s">
        <v>27</v>
      </c>
      <c r="F262" s="1" t="s">
        <v>28</v>
      </c>
      <c r="G262" s="1">
        <v>5</v>
      </c>
      <c r="H262" s="1">
        <v>9675</v>
      </c>
      <c r="I262" s="5">
        <v>10</v>
      </c>
      <c r="J262" s="1" t="s">
        <v>24</v>
      </c>
      <c r="K262" s="1" t="s">
        <v>29</v>
      </c>
      <c r="L262" s="1">
        <f t="shared" si="21"/>
        <v>48375</v>
      </c>
      <c r="M262" s="1">
        <f t="shared" si="20"/>
        <v>4837.5</v>
      </c>
      <c r="N262" s="1">
        <f t="shared" si="22"/>
        <v>43537.5</v>
      </c>
      <c r="O262" s="1" t="str">
        <f t="shared" si="23"/>
        <v>March</v>
      </c>
      <c r="P262" s="1">
        <f t="shared" si="24"/>
        <v>2026</v>
      </c>
    </row>
    <row r="263" spans="1:16">
      <c r="A263" s="1">
        <v>1286</v>
      </c>
      <c r="B263" s="2">
        <v>46046</v>
      </c>
      <c r="C263" s="1" t="s">
        <v>39</v>
      </c>
      <c r="D263" s="1" t="s">
        <v>17</v>
      </c>
      <c r="E263" s="1" t="s">
        <v>38</v>
      </c>
      <c r="F263" s="1" t="s">
        <v>28</v>
      </c>
      <c r="G263" s="1">
        <v>9</v>
      </c>
      <c r="H263" s="1">
        <v>3365</v>
      </c>
      <c r="I263" s="5">
        <v>10</v>
      </c>
      <c r="J263" s="1" t="s">
        <v>24</v>
      </c>
      <c r="K263" s="1" t="s">
        <v>29</v>
      </c>
      <c r="L263" s="1">
        <f t="shared" si="21"/>
        <v>30285</v>
      </c>
      <c r="M263" s="1">
        <f t="shared" si="20"/>
        <v>3028.5</v>
      </c>
      <c r="N263" s="1">
        <f t="shared" si="22"/>
        <v>27256.5</v>
      </c>
      <c r="O263" s="1" t="str">
        <f t="shared" si="23"/>
        <v>January</v>
      </c>
      <c r="P263" s="1">
        <f t="shared" si="24"/>
        <v>2026</v>
      </c>
    </row>
    <row r="264" spans="1:16">
      <c r="A264" s="1">
        <v>1287</v>
      </c>
      <c r="B264" s="2">
        <v>46110</v>
      </c>
      <c r="C264" s="1" t="s">
        <v>22</v>
      </c>
      <c r="D264" s="1" t="s">
        <v>31</v>
      </c>
      <c r="E264" s="1" t="s">
        <v>32</v>
      </c>
      <c r="F264" s="1" t="s">
        <v>28</v>
      </c>
      <c r="G264" s="1">
        <v>8</v>
      </c>
      <c r="H264" s="1">
        <v>1043</v>
      </c>
      <c r="I264" s="5">
        <v>5</v>
      </c>
      <c r="J264" s="1" t="s">
        <v>20</v>
      </c>
      <c r="K264" s="1" t="s">
        <v>21</v>
      </c>
      <c r="L264" s="1">
        <f t="shared" si="21"/>
        <v>8344</v>
      </c>
      <c r="M264" s="1">
        <f t="shared" si="20"/>
        <v>417.20000000000005</v>
      </c>
      <c r="N264" s="1">
        <f t="shared" si="22"/>
        <v>7926.8</v>
      </c>
      <c r="O264" s="1" t="str">
        <f t="shared" si="23"/>
        <v>March</v>
      </c>
      <c r="P264" s="1">
        <f t="shared" si="24"/>
        <v>2026</v>
      </c>
    </row>
    <row r="265" spans="1:16">
      <c r="A265" s="1">
        <v>1288</v>
      </c>
      <c r="B265" s="2">
        <v>46068</v>
      </c>
      <c r="C265" s="1" t="s">
        <v>33</v>
      </c>
      <c r="D265" s="1" t="s">
        <v>31</v>
      </c>
      <c r="E265" s="1" t="s">
        <v>35</v>
      </c>
      <c r="F265" s="1" t="s">
        <v>19</v>
      </c>
      <c r="G265" s="1">
        <v>10</v>
      </c>
      <c r="H265" s="1">
        <v>8815</v>
      </c>
      <c r="I265" s="5">
        <v>0</v>
      </c>
      <c r="J265" s="1" t="s">
        <v>20</v>
      </c>
      <c r="K265" s="1" t="s">
        <v>25</v>
      </c>
      <c r="L265" s="1">
        <f t="shared" si="21"/>
        <v>88150</v>
      </c>
      <c r="M265" s="1">
        <f t="shared" si="20"/>
        <v>0</v>
      </c>
      <c r="N265" s="1">
        <f t="shared" si="22"/>
        <v>88150</v>
      </c>
      <c r="O265" s="1" t="str">
        <f t="shared" si="23"/>
        <v>February</v>
      </c>
      <c r="P265" s="1">
        <f t="shared" si="24"/>
        <v>2026</v>
      </c>
    </row>
    <row r="266" spans="1:16">
      <c r="A266" s="1">
        <v>1289</v>
      </c>
      <c r="B266" s="2">
        <v>46107</v>
      </c>
      <c r="C266" s="1" t="s">
        <v>33</v>
      </c>
      <c r="D266" s="1" t="s">
        <v>45</v>
      </c>
      <c r="E266" s="1" t="s">
        <v>44</v>
      </c>
      <c r="F266" s="1" t="s">
        <v>19</v>
      </c>
      <c r="G266" s="1">
        <v>4</v>
      </c>
      <c r="H266" s="1">
        <v>6666</v>
      </c>
      <c r="I266" s="5">
        <v>0</v>
      </c>
      <c r="J266" s="1" t="s">
        <v>20</v>
      </c>
      <c r="K266" s="1" t="s">
        <v>29</v>
      </c>
      <c r="L266" s="1">
        <f t="shared" si="21"/>
        <v>26664</v>
      </c>
      <c r="M266" s="1">
        <f t="shared" si="20"/>
        <v>0</v>
      </c>
      <c r="N266" s="1">
        <f t="shared" si="22"/>
        <v>26664</v>
      </c>
      <c r="O266" s="1" t="str">
        <f t="shared" si="23"/>
        <v>March</v>
      </c>
      <c r="P266" s="1">
        <f t="shared" si="24"/>
        <v>2026</v>
      </c>
    </row>
    <row r="267" spans="1:16">
      <c r="A267" s="1">
        <v>1290</v>
      </c>
      <c r="B267" s="2">
        <v>46042</v>
      </c>
      <c r="C267" s="1" t="s">
        <v>36</v>
      </c>
      <c r="D267" s="1" t="s">
        <v>37</v>
      </c>
      <c r="E267" s="1" t="s">
        <v>34</v>
      </c>
      <c r="F267" s="1" t="s">
        <v>19</v>
      </c>
      <c r="G267" s="1">
        <v>1</v>
      </c>
      <c r="H267" s="1">
        <v>14722</v>
      </c>
      <c r="I267" s="5">
        <v>10</v>
      </c>
      <c r="J267" s="1" t="s">
        <v>24</v>
      </c>
      <c r="K267" s="1" t="s">
        <v>29</v>
      </c>
      <c r="L267" s="1">
        <f t="shared" si="21"/>
        <v>14722</v>
      </c>
      <c r="M267" s="1">
        <f t="shared" si="20"/>
        <v>1472.2</v>
      </c>
      <c r="N267" s="1">
        <f t="shared" si="22"/>
        <v>13249.8</v>
      </c>
      <c r="O267" s="1" t="str">
        <f t="shared" si="23"/>
        <v>January</v>
      </c>
      <c r="P267" s="1">
        <f t="shared" si="24"/>
        <v>2026</v>
      </c>
    </row>
    <row r="268" spans="1:16">
      <c r="A268" s="1">
        <v>1291</v>
      </c>
      <c r="B268" s="2">
        <v>46084</v>
      </c>
      <c r="C268" s="1" t="s">
        <v>40</v>
      </c>
      <c r="D268" s="1" t="s">
        <v>41</v>
      </c>
      <c r="E268" s="1" t="s">
        <v>23</v>
      </c>
      <c r="F268" s="1" t="s">
        <v>19</v>
      </c>
      <c r="G268" s="1">
        <v>9</v>
      </c>
      <c r="H268" s="1">
        <v>914</v>
      </c>
      <c r="I268" s="5">
        <v>5</v>
      </c>
      <c r="J268" s="1" t="s">
        <v>20</v>
      </c>
      <c r="K268" s="1" t="s">
        <v>21</v>
      </c>
      <c r="L268" s="1">
        <f t="shared" si="21"/>
        <v>8226</v>
      </c>
      <c r="M268" s="1">
        <f t="shared" si="20"/>
        <v>411.3</v>
      </c>
      <c r="N268" s="1">
        <f t="shared" si="22"/>
        <v>7814.7</v>
      </c>
      <c r="O268" s="1" t="str">
        <f t="shared" si="23"/>
        <v>March</v>
      </c>
      <c r="P268" s="1">
        <f t="shared" si="24"/>
        <v>2026</v>
      </c>
    </row>
    <row r="269" spans="1:16">
      <c r="A269" s="1">
        <v>1292</v>
      </c>
      <c r="B269" s="2">
        <v>46066</v>
      </c>
      <c r="C269" s="1" t="s">
        <v>29</v>
      </c>
      <c r="D269" s="1" t="s">
        <v>17</v>
      </c>
      <c r="E269" s="1" t="s">
        <v>34</v>
      </c>
      <c r="F269" s="1" t="s">
        <v>19</v>
      </c>
      <c r="G269" s="1">
        <v>4</v>
      </c>
      <c r="H269" s="1">
        <v>14934</v>
      </c>
      <c r="I269" s="5">
        <v>10</v>
      </c>
      <c r="J269" s="1" t="s">
        <v>20</v>
      </c>
      <c r="K269" s="1" t="s">
        <v>21</v>
      </c>
      <c r="L269" s="1">
        <f t="shared" si="21"/>
        <v>59736</v>
      </c>
      <c r="M269" s="1">
        <f t="shared" si="20"/>
        <v>5973.6</v>
      </c>
      <c r="N269" s="1">
        <f t="shared" si="22"/>
        <v>53762.400000000001</v>
      </c>
      <c r="O269" s="1" t="str">
        <f t="shared" si="23"/>
        <v>February</v>
      </c>
      <c r="P269" s="1">
        <f t="shared" si="24"/>
        <v>2026</v>
      </c>
    </row>
    <row r="270" spans="1:16">
      <c r="A270" s="1">
        <v>1293</v>
      </c>
      <c r="B270" s="2">
        <v>46024</v>
      </c>
      <c r="C270" s="1" t="s">
        <v>39</v>
      </c>
      <c r="D270" s="1" t="s">
        <v>37</v>
      </c>
      <c r="E270" s="1" t="s">
        <v>23</v>
      </c>
      <c r="F270" s="1" t="s">
        <v>19</v>
      </c>
      <c r="G270" s="1">
        <v>10</v>
      </c>
      <c r="H270" s="1">
        <v>1090</v>
      </c>
      <c r="I270" s="5">
        <v>15</v>
      </c>
      <c r="J270" s="1" t="s">
        <v>20</v>
      </c>
      <c r="K270" s="1" t="s">
        <v>25</v>
      </c>
      <c r="L270" s="1">
        <f t="shared" si="21"/>
        <v>10900</v>
      </c>
      <c r="M270" s="1">
        <f t="shared" si="20"/>
        <v>1635</v>
      </c>
      <c r="N270" s="1">
        <f t="shared" si="22"/>
        <v>9265</v>
      </c>
      <c r="O270" s="1" t="str">
        <f t="shared" si="23"/>
        <v>January</v>
      </c>
      <c r="P270" s="1">
        <f t="shared" si="24"/>
        <v>2026</v>
      </c>
    </row>
    <row r="271" spans="1:16">
      <c r="A271" s="1">
        <v>1294</v>
      </c>
      <c r="B271" s="2">
        <v>46107</v>
      </c>
      <c r="C271" s="1" t="s">
        <v>36</v>
      </c>
      <c r="D271" s="1" t="s">
        <v>41</v>
      </c>
      <c r="E271" s="1" t="s">
        <v>44</v>
      </c>
      <c r="F271" s="1" t="s">
        <v>19</v>
      </c>
      <c r="G271" s="1">
        <v>10</v>
      </c>
      <c r="H271" s="1">
        <v>7135</v>
      </c>
      <c r="I271" s="5">
        <v>5</v>
      </c>
      <c r="J271" s="1" t="s">
        <v>24</v>
      </c>
      <c r="K271" s="1" t="s">
        <v>25</v>
      </c>
      <c r="L271" s="1">
        <f t="shared" si="21"/>
        <v>71350</v>
      </c>
      <c r="M271" s="1">
        <f t="shared" si="20"/>
        <v>3567.5</v>
      </c>
      <c r="N271" s="1">
        <f t="shared" si="22"/>
        <v>67782.5</v>
      </c>
      <c r="O271" s="1" t="str">
        <f t="shared" si="23"/>
        <v>March</v>
      </c>
      <c r="P271" s="1">
        <f t="shared" si="24"/>
        <v>2026</v>
      </c>
    </row>
    <row r="272" spans="1:16">
      <c r="A272" s="1">
        <v>1295</v>
      </c>
      <c r="B272" s="2">
        <v>46065</v>
      </c>
      <c r="C272" s="1" t="s">
        <v>21</v>
      </c>
      <c r="D272" s="1" t="s">
        <v>31</v>
      </c>
      <c r="E272" s="1" t="s">
        <v>32</v>
      </c>
      <c r="F272" s="1" t="s">
        <v>28</v>
      </c>
      <c r="G272" s="1">
        <v>2</v>
      </c>
      <c r="H272" s="1">
        <v>1295</v>
      </c>
      <c r="I272" s="5">
        <v>0</v>
      </c>
      <c r="J272" s="1" t="s">
        <v>20</v>
      </c>
      <c r="K272" s="1" t="s">
        <v>25</v>
      </c>
      <c r="L272" s="1">
        <f t="shared" si="21"/>
        <v>2590</v>
      </c>
      <c r="M272" s="1">
        <f t="shared" si="20"/>
        <v>0</v>
      </c>
      <c r="N272" s="1">
        <f t="shared" si="22"/>
        <v>2590</v>
      </c>
      <c r="O272" s="1" t="str">
        <f t="shared" si="23"/>
        <v>February</v>
      </c>
      <c r="P272" s="1">
        <f t="shared" si="24"/>
        <v>2026</v>
      </c>
    </row>
    <row r="273" spans="1:16">
      <c r="A273" s="1">
        <v>1296</v>
      </c>
      <c r="B273" s="2">
        <v>46093</v>
      </c>
      <c r="C273" s="1" t="s">
        <v>26</v>
      </c>
      <c r="D273" s="1" t="s">
        <v>17</v>
      </c>
      <c r="E273" s="1" t="s">
        <v>32</v>
      </c>
      <c r="F273" s="1" t="s">
        <v>28</v>
      </c>
      <c r="G273" s="1">
        <v>10</v>
      </c>
      <c r="H273" s="1">
        <v>1284</v>
      </c>
      <c r="I273" s="5">
        <v>5</v>
      </c>
      <c r="J273" s="1" t="s">
        <v>20</v>
      </c>
      <c r="K273" s="1" t="s">
        <v>25</v>
      </c>
      <c r="L273" s="1">
        <f t="shared" si="21"/>
        <v>12840</v>
      </c>
      <c r="M273" s="1">
        <f t="shared" si="20"/>
        <v>642</v>
      </c>
      <c r="N273" s="1">
        <f t="shared" si="22"/>
        <v>12198</v>
      </c>
      <c r="O273" s="1" t="str">
        <f t="shared" si="23"/>
        <v>March</v>
      </c>
      <c r="P273" s="1">
        <f t="shared" si="24"/>
        <v>2026</v>
      </c>
    </row>
    <row r="274" spans="1:16">
      <c r="A274" s="1">
        <v>1297</v>
      </c>
      <c r="B274" s="2">
        <v>46044</v>
      </c>
      <c r="C274" s="1" t="s">
        <v>29</v>
      </c>
      <c r="D274" s="1" t="s">
        <v>45</v>
      </c>
      <c r="E274" s="1" t="s">
        <v>18</v>
      </c>
      <c r="F274" s="1" t="s">
        <v>19</v>
      </c>
      <c r="G274" s="1">
        <v>5</v>
      </c>
      <c r="H274" s="1">
        <v>683</v>
      </c>
      <c r="I274" s="5">
        <v>0</v>
      </c>
      <c r="J274" s="1" t="s">
        <v>24</v>
      </c>
      <c r="K274" s="1" t="s">
        <v>29</v>
      </c>
      <c r="L274" s="1">
        <f t="shared" si="21"/>
        <v>3415</v>
      </c>
      <c r="M274" s="1">
        <f t="shared" si="20"/>
        <v>0</v>
      </c>
      <c r="N274" s="1">
        <f t="shared" si="22"/>
        <v>3415</v>
      </c>
      <c r="O274" s="1" t="str">
        <f t="shared" si="23"/>
        <v>January</v>
      </c>
      <c r="P274" s="1">
        <f t="shared" si="24"/>
        <v>2026</v>
      </c>
    </row>
    <row r="275" spans="1:16">
      <c r="A275" s="1">
        <v>1298</v>
      </c>
      <c r="B275" s="2">
        <v>46073</v>
      </c>
      <c r="C275" s="1" t="s">
        <v>40</v>
      </c>
      <c r="D275" s="1" t="s">
        <v>31</v>
      </c>
      <c r="E275" s="1" t="s">
        <v>35</v>
      </c>
      <c r="F275" s="1" t="s">
        <v>19</v>
      </c>
      <c r="G275" s="1">
        <v>3</v>
      </c>
      <c r="H275" s="1">
        <v>8959</v>
      </c>
      <c r="I275" s="5">
        <v>15</v>
      </c>
      <c r="J275" s="1" t="s">
        <v>24</v>
      </c>
      <c r="K275" s="1" t="s">
        <v>29</v>
      </c>
      <c r="L275" s="1">
        <f t="shared" si="21"/>
        <v>26877</v>
      </c>
      <c r="M275" s="1">
        <f t="shared" si="20"/>
        <v>4031.5499999999997</v>
      </c>
      <c r="N275" s="1">
        <f t="shared" si="22"/>
        <v>22845.45</v>
      </c>
      <c r="O275" s="1" t="str">
        <f t="shared" si="23"/>
        <v>February</v>
      </c>
      <c r="P275" s="1">
        <f t="shared" si="24"/>
        <v>2026</v>
      </c>
    </row>
    <row r="276" spans="1:16">
      <c r="A276" s="1">
        <v>1299</v>
      </c>
      <c r="B276" s="2">
        <v>46102</v>
      </c>
      <c r="C276" s="1" t="s">
        <v>36</v>
      </c>
      <c r="D276" s="1" t="s">
        <v>37</v>
      </c>
      <c r="E276" s="1" t="s">
        <v>34</v>
      </c>
      <c r="F276" s="1" t="s">
        <v>19</v>
      </c>
      <c r="G276" s="1">
        <v>10</v>
      </c>
      <c r="H276" s="1">
        <v>15186</v>
      </c>
      <c r="I276" s="5">
        <v>10</v>
      </c>
      <c r="J276" s="1" t="s">
        <v>24</v>
      </c>
      <c r="K276" s="1" t="s">
        <v>25</v>
      </c>
      <c r="L276" s="1">
        <f t="shared" si="21"/>
        <v>151860</v>
      </c>
      <c r="M276" s="1">
        <f t="shared" si="20"/>
        <v>15186</v>
      </c>
      <c r="N276" s="1">
        <f t="shared" si="22"/>
        <v>136674</v>
      </c>
      <c r="O276" s="1" t="str">
        <f t="shared" si="23"/>
        <v>March</v>
      </c>
      <c r="P276" s="1">
        <f t="shared" si="24"/>
        <v>2026</v>
      </c>
    </row>
    <row r="277" spans="1:16">
      <c r="A277" s="1">
        <v>1300</v>
      </c>
      <c r="B277" s="2">
        <v>46041</v>
      </c>
      <c r="C277" s="1" t="s">
        <v>40</v>
      </c>
      <c r="D277" s="1" t="s">
        <v>17</v>
      </c>
      <c r="E277" s="1" t="s">
        <v>32</v>
      </c>
      <c r="F277" s="1" t="s">
        <v>28</v>
      </c>
      <c r="G277" s="1">
        <v>2</v>
      </c>
      <c r="H277" s="1">
        <v>1512</v>
      </c>
      <c r="I277" s="5">
        <v>10</v>
      </c>
      <c r="J277" s="1" t="s">
        <v>24</v>
      </c>
      <c r="K277" s="1" t="s">
        <v>25</v>
      </c>
      <c r="L277" s="1">
        <f t="shared" si="21"/>
        <v>3024</v>
      </c>
      <c r="M277" s="1">
        <f t="shared" si="20"/>
        <v>302.40000000000003</v>
      </c>
      <c r="N277" s="1">
        <f t="shared" si="22"/>
        <v>2721.6</v>
      </c>
      <c r="O277" s="1" t="str">
        <f t="shared" si="23"/>
        <v>January</v>
      </c>
      <c r="P277" s="1">
        <f t="shared" si="24"/>
        <v>2026</v>
      </c>
    </row>
    <row r="278" spans="1:16">
      <c r="A278" s="1">
        <v>1301</v>
      </c>
      <c r="B278" s="2">
        <v>46109</v>
      </c>
      <c r="C278" s="1" t="s">
        <v>36</v>
      </c>
      <c r="D278" s="1" t="s">
        <v>37</v>
      </c>
      <c r="E278" s="1" t="s">
        <v>44</v>
      </c>
      <c r="F278" s="1" t="s">
        <v>19</v>
      </c>
      <c r="G278" s="1">
        <v>2</v>
      </c>
      <c r="H278" s="1">
        <v>7253</v>
      </c>
      <c r="I278" s="5">
        <v>5</v>
      </c>
      <c r="J278" s="1" t="s">
        <v>20</v>
      </c>
      <c r="K278" s="1" t="s">
        <v>25</v>
      </c>
      <c r="L278" s="1">
        <f t="shared" si="21"/>
        <v>14506</v>
      </c>
      <c r="M278" s="1">
        <f t="shared" si="20"/>
        <v>725.30000000000007</v>
      </c>
      <c r="N278" s="1">
        <f t="shared" si="22"/>
        <v>13780.7</v>
      </c>
      <c r="O278" s="1" t="str">
        <f t="shared" si="23"/>
        <v>March</v>
      </c>
      <c r="P278" s="1">
        <f t="shared" si="24"/>
        <v>2026</v>
      </c>
    </row>
    <row r="279" spans="1:16">
      <c r="A279" s="1">
        <v>1302</v>
      </c>
      <c r="B279" s="2">
        <v>46051</v>
      </c>
      <c r="C279" s="1" t="s">
        <v>40</v>
      </c>
      <c r="D279" s="1" t="s">
        <v>17</v>
      </c>
      <c r="E279" s="1" t="s">
        <v>18</v>
      </c>
      <c r="F279" s="1" t="s">
        <v>19</v>
      </c>
      <c r="G279" s="1">
        <v>8</v>
      </c>
      <c r="H279" s="1">
        <v>429</v>
      </c>
      <c r="I279" s="5">
        <v>0</v>
      </c>
      <c r="J279" s="1" t="s">
        <v>20</v>
      </c>
      <c r="K279" s="1" t="s">
        <v>25</v>
      </c>
      <c r="L279" s="1">
        <f t="shared" si="21"/>
        <v>3432</v>
      </c>
      <c r="M279" s="1">
        <f t="shared" si="20"/>
        <v>0</v>
      </c>
      <c r="N279" s="1">
        <f t="shared" si="22"/>
        <v>3432</v>
      </c>
      <c r="O279" s="1" t="str">
        <f t="shared" si="23"/>
        <v>January</v>
      </c>
      <c r="P279" s="1">
        <f t="shared" si="24"/>
        <v>2026</v>
      </c>
    </row>
    <row r="280" spans="1:16">
      <c r="A280" s="1">
        <v>1303</v>
      </c>
      <c r="B280" s="2">
        <v>46042</v>
      </c>
      <c r="C280" s="1" t="s">
        <v>30</v>
      </c>
      <c r="D280" s="1" t="s">
        <v>37</v>
      </c>
      <c r="E280" s="1" t="s">
        <v>27</v>
      </c>
      <c r="F280" s="1" t="s">
        <v>28</v>
      </c>
      <c r="G280" s="1">
        <v>8</v>
      </c>
      <c r="H280" s="1">
        <v>9706</v>
      </c>
      <c r="I280" s="5">
        <v>0</v>
      </c>
      <c r="J280" s="1" t="s">
        <v>20</v>
      </c>
      <c r="K280" s="1" t="s">
        <v>29</v>
      </c>
      <c r="L280" s="1">
        <f t="shared" si="21"/>
        <v>77648</v>
      </c>
      <c r="M280" s="1">
        <f t="shared" si="20"/>
        <v>0</v>
      </c>
      <c r="N280" s="1">
        <f t="shared" si="22"/>
        <v>77648</v>
      </c>
      <c r="O280" s="1" t="str">
        <f t="shared" si="23"/>
        <v>January</v>
      </c>
      <c r="P280" s="1">
        <f t="shared" si="24"/>
        <v>2026</v>
      </c>
    </row>
    <row r="281" spans="1:16">
      <c r="A281" s="1">
        <v>1304</v>
      </c>
      <c r="B281" s="2">
        <v>46075</v>
      </c>
      <c r="C281" s="1" t="s">
        <v>22</v>
      </c>
      <c r="D281" s="1" t="s">
        <v>17</v>
      </c>
      <c r="E281" s="1" t="s">
        <v>35</v>
      </c>
      <c r="F281" s="1" t="s">
        <v>19</v>
      </c>
      <c r="G281" s="1">
        <v>4</v>
      </c>
      <c r="H281" s="1">
        <v>8882</v>
      </c>
      <c r="I281" s="5">
        <v>15</v>
      </c>
      <c r="J281" s="1" t="s">
        <v>24</v>
      </c>
      <c r="K281" s="1" t="s">
        <v>21</v>
      </c>
      <c r="L281" s="1">
        <f t="shared" si="21"/>
        <v>35528</v>
      </c>
      <c r="M281" s="1">
        <f t="shared" si="20"/>
        <v>5329.2</v>
      </c>
      <c r="N281" s="1">
        <f t="shared" si="22"/>
        <v>30198.799999999999</v>
      </c>
      <c r="O281" s="1" t="str">
        <f t="shared" si="23"/>
        <v>February</v>
      </c>
      <c r="P281" s="1">
        <f t="shared" si="24"/>
        <v>2026</v>
      </c>
    </row>
    <row r="282" spans="1:16">
      <c r="A282" s="1">
        <v>1305</v>
      </c>
      <c r="B282" s="2">
        <v>46105</v>
      </c>
      <c r="C282" s="1" t="s">
        <v>43</v>
      </c>
      <c r="D282" s="1" t="s">
        <v>37</v>
      </c>
      <c r="E282" s="1" t="s">
        <v>27</v>
      </c>
      <c r="F282" s="1" t="s">
        <v>28</v>
      </c>
      <c r="G282" s="1">
        <v>1</v>
      </c>
      <c r="H282" s="1">
        <v>9532</v>
      </c>
      <c r="I282" s="5">
        <v>10</v>
      </c>
      <c r="J282" s="1" t="s">
        <v>24</v>
      </c>
      <c r="K282" s="1" t="s">
        <v>21</v>
      </c>
      <c r="L282" s="1">
        <f t="shared" si="21"/>
        <v>9532</v>
      </c>
      <c r="M282" s="1">
        <f t="shared" si="20"/>
        <v>953.2</v>
      </c>
      <c r="N282" s="1">
        <f t="shared" si="22"/>
        <v>8578.7999999999993</v>
      </c>
      <c r="O282" s="1" t="str">
        <f t="shared" si="23"/>
        <v>March</v>
      </c>
      <c r="P282" s="1">
        <f t="shared" si="24"/>
        <v>2026</v>
      </c>
    </row>
    <row r="283" spans="1:16">
      <c r="A283" s="1">
        <v>1307</v>
      </c>
      <c r="B283" s="2">
        <v>46084</v>
      </c>
      <c r="C283" s="1" t="s">
        <v>29</v>
      </c>
      <c r="D283" s="1" t="s">
        <v>31</v>
      </c>
      <c r="E283" s="1" t="s">
        <v>44</v>
      </c>
      <c r="F283" s="1" t="s">
        <v>19</v>
      </c>
      <c r="G283" s="1">
        <v>10</v>
      </c>
      <c r="H283" s="1">
        <v>7407</v>
      </c>
      <c r="I283" s="5">
        <v>10</v>
      </c>
      <c r="J283" s="1" t="s">
        <v>24</v>
      </c>
      <c r="K283" s="1" t="s">
        <v>25</v>
      </c>
      <c r="L283" s="1">
        <f t="shared" si="21"/>
        <v>74070</v>
      </c>
      <c r="M283" s="1">
        <f t="shared" si="20"/>
        <v>7407</v>
      </c>
      <c r="N283" s="1">
        <f t="shared" si="22"/>
        <v>66663</v>
      </c>
      <c r="O283" s="1" t="str">
        <f t="shared" si="23"/>
        <v>March</v>
      </c>
      <c r="P283" s="1">
        <f t="shared" si="24"/>
        <v>2026</v>
      </c>
    </row>
    <row r="284" spans="1:16">
      <c r="A284" s="1">
        <v>1308</v>
      </c>
      <c r="B284" s="2">
        <v>46080</v>
      </c>
      <c r="C284" s="1" t="s">
        <v>36</v>
      </c>
      <c r="D284" s="1" t="s">
        <v>31</v>
      </c>
      <c r="E284" s="1" t="s">
        <v>32</v>
      </c>
      <c r="F284" s="1" t="s">
        <v>28</v>
      </c>
      <c r="G284" s="1">
        <v>1</v>
      </c>
      <c r="H284" s="1">
        <v>877</v>
      </c>
      <c r="I284" s="5">
        <v>5</v>
      </c>
      <c r="J284" s="1" t="s">
        <v>20</v>
      </c>
      <c r="K284" s="1" t="s">
        <v>21</v>
      </c>
      <c r="L284" s="1">
        <f t="shared" si="21"/>
        <v>877</v>
      </c>
      <c r="M284" s="1">
        <f t="shared" si="20"/>
        <v>43.85</v>
      </c>
      <c r="N284" s="1">
        <f t="shared" si="22"/>
        <v>833.15</v>
      </c>
      <c r="O284" s="1" t="str">
        <f t="shared" si="23"/>
        <v>February</v>
      </c>
      <c r="P284" s="1">
        <f t="shared" si="24"/>
        <v>2026</v>
      </c>
    </row>
    <row r="285" spans="1:16">
      <c r="A285" s="1">
        <v>1310</v>
      </c>
      <c r="B285" s="2">
        <v>46039</v>
      </c>
      <c r="C285" s="1" t="s">
        <v>22</v>
      </c>
      <c r="D285" s="1" t="s">
        <v>31</v>
      </c>
      <c r="E285" s="1" t="s">
        <v>38</v>
      </c>
      <c r="F285" s="1" t="s">
        <v>28</v>
      </c>
      <c r="G285" s="1">
        <v>5</v>
      </c>
      <c r="H285" s="1">
        <v>3141</v>
      </c>
      <c r="I285" s="5">
        <v>10</v>
      </c>
      <c r="J285" s="1" t="s">
        <v>24</v>
      </c>
      <c r="K285" s="1" t="s">
        <v>29</v>
      </c>
      <c r="L285" s="1">
        <f t="shared" si="21"/>
        <v>15705</v>
      </c>
      <c r="M285" s="1">
        <f t="shared" si="20"/>
        <v>1570.5</v>
      </c>
      <c r="N285" s="1">
        <f t="shared" si="22"/>
        <v>14134.5</v>
      </c>
      <c r="O285" s="1" t="str">
        <f t="shared" si="23"/>
        <v>January</v>
      </c>
      <c r="P285" s="1">
        <f t="shared" si="24"/>
        <v>2026</v>
      </c>
    </row>
    <row r="286" spans="1:16">
      <c r="A286" s="1">
        <v>1311</v>
      </c>
      <c r="B286" s="2">
        <v>46075</v>
      </c>
      <c r="C286" s="1" t="s">
        <v>30</v>
      </c>
      <c r="D286" s="1" t="s">
        <v>37</v>
      </c>
      <c r="E286" s="1" t="s">
        <v>23</v>
      </c>
      <c r="F286" s="1" t="s">
        <v>19</v>
      </c>
      <c r="G286" s="1">
        <v>8</v>
      </c>
      <c r="H286" s="1">
        <v>1250</v>
      </c>
      <c r="I286" s="5">
        <v>15</v>
      </c>
      <c r="J286" s="1" t="s">
        <v>24</v>
      </c>
      <c r="K286" s="1" t="s">
        <v>29</v>
      </c>
      <c r="L286" s="1">
        <f t="shared" si="21"/>
        <v>10000</v>
      </c>
      <c r="M286" s="1">
        <f t="shared" si="20"/>
        <v>1500</v>
      </c>
      <c r="N286" s="1">
        <f t="shared" si="22"/>
        <v>8500</v>
      </c>
      <c r="O286" s="1" t="str">
        <f t="shared" si="23"/>
        <v>February</v>
      </c>
      <c r="P286" s="1">
        <f t="shared" si="24"/>
        <v>2026</v>
      </c>
    </row>
    <row r="287" spans="1:16">
      <c r="A287" s="1">
        <v>1312</v>
      </c>
      <c r="B287" s="2">
        <v>46053</v>
      </c>
      <c r="C287" s="1" t="s">
        <v>26</v>
      </c>
      <c r="D287" s="1" t="s">
        <v>31</v>
      </c>
      <c r="E287" s="1" t="s">
        <v>35</v>
      </c>
      <c r="F287" s="1" t="s">
        <v>19</v>
      </c>
      <c r="G287" s="1">
        <v>3</v>
      </c>
      <c r="H287" s="1">
        <v>9489</v>
      </c>
      <c r="I287" s="5">
        <v>15</v>
      </c>
      <c r="J287" s="1" t="s">
        <v>20</v>
      </c>
      <c r="K287" s="1" t="s">
        <v>29</v>
      </c>
      <c r="L287" s="1">
        <f t="shared" si="21"/>
        <v>28467</v>
      </c>
      <c r="M287" s="1">
        <f t="shared" si="20"/>
        <v>4270.05</v>
      </c>
      <c r="N287" s="1">
        <f t="shared" si="22"/>
        <v>24196.95</v>
      </c>
      <c r="O287" s="1" t="str">
        <f t="shared" si="23"/>
        <v>January</v>
      </c>
      <c r="P287" s="1">
        <f t="shared" si="24"/>
        <v>2026</v>
      </c>
    </row>
    <row r="288" spans="1:16">
      <c r="A288" s="1">
        <v>1313</v>
      </c>
      <c r="B288" s="2">
        <v>46031</v>
      </c>
      <c r="C288" s="1" t="s">
        <v>33</v>
      </c>
      <c r="D288" s="1" t="s">
        <v>31</v>
      </c>
      <c r="E288" s="1" t="s">
        <v>44</v>
      </c>
      <c r="F288" s="1" t="s">
        <v>19</v>
      </c>
      <c r="G288" s="1">
        <v>8</v>
      </c>
      <c r="H288" s="1">
        <v>6968</v>
      </c>
      <c r="I288" s="5">
        <v>10</v>
      </c>
      <c r="J288" s="1" t="s">
        <v>24</v>
      </c>
      <c r="K288" s="1" t="s">
        <v>25</v>
      </c>
      <c r="L288" s="1">
        <f t="shared" si="21"/>
        <v>55744</v>
      </c>
      <c r="M288" s="1">
        <f t="shared" si="20"/>
        <v>5574.4000000000005</v>
      </c>
      <c r="N288" s="1">
        <f t="shared" si="22"/>
        <v>50169.599999999999</v>
      </c>
      <c r="O288" s="1" t="str">
        <f t="shared" si="23"/>
        <v>January</v>
      </c>
      <c r="P288" s="1">
        <f t="shared" si="24"/>
        <v>2026</v>
      </c>
    </row>
    <row r="289" spans="1:16">
      <c r="A289" s="1">
        <v>1314</v>
      </c>
      <c r="B289" s="2">
        <v>46113</v>
      </c>
      <c r="C289" s="1" t="s">
        <v>42</v>
      </c>
      <c r="D289" s="1" t="s">
        <v>17</v>
      </c>
      <c r="E289" s="1" t="s">
        <v>44</v>
      </c>
      <c r="F289" s="1" t="s">
        <v>19</v>
      </c>
      <c r="G289" s="1">
        <v>6</v>
      </c>
      <c r="H289" s="1">
        <v>7102</v>
      </c>
      <c r="I289" s="5">
        <v>0</v>
      </c>
      <c r="J289" s="1" t="s">
        <v>24</v>
      </c>
      <c r="K289" s="1" t="s">
        <v>25</v>
      </c>
      <c r="L289" s="1">
        <f t="shared" si="21"/>
        <v>42612</v>
      </c>
      <c r="M289" s="1">
        <f t="shared" si="20"/>
        <v>0</v>
      </c>
      <c r="N289" s="1">
        <f t="shared" si="22"/>
        <v>42612</v>
      </c>
      <c r="O289" s="1" t="str">
        <f t="shared" si="23"/>
        <v>April</v>
      </c>
      <c r="P289" s="1">
        <f t="shared" si="24"/>
        <v>2026</v>
      </c>
    </row>
    <row r="290" spans="1:16">
      <c r="A290" s="1">
        <v>1315</v>
      </c>
      <c r="B290" s="2">
        <v>46077</v>
      </c>
      <c r="C290" s="1" t="s">
        <v>36</v>
      </c>
      <c r="D290" s="1" t="s">
        <v>41</v>
      </c>
      <c r="E290" s="1" t="s">
        <v>38</v>
      </c>
      <c r="F290" s="1" t="s">
        <v>28</v>
      </c>
      <c r="G290" s="1">
        <v>7</v>
      </c>
      <c r="H290" s="1">
        <v>3579</v>
      </c>
      <c r="I290" s="5">
        <v>10</v>
      </c>
      <c r="J290" s="1" t="s">
        <v>24</v>
      </c>
      <c r="K290" s="1" t="s">
        <v>25</v>
      </c>
      <c r="L290" s="1">
        <f t="shared" si="21"/>
        <v>25053</v>
      </c>
      <c r="M290" s="1">
        <f t="shared" si="20"/>
        <v>2505.3000000000002</v>
      </c>
      <c r="N290" s="1">
        <f t="shared" si="22"/>
        <v>22547.7</v>
      </c>
      <c r="O290" s="1" t="str">
        <f t="shared" si="23"/>
        <v>February</v>
      </c>
      <c r="P290" s="1">
        <f t="shared" si="24"/>
        <v>2026</v>
      </c>
    </row>
    <row r="291" spans="1:16">
      <c r="A291" s="1">
        <v>1316</v>
      </c>
      <c r="B291" s="2">
        <v>46048</v>
      </c>
      <c r="C291" s="1" t="s">
        <v>40</v>
      </c>
      <c r="D291" s="1" t="s">
        <v>31</v>
      </c>
      <c r="E291" s="1" t="s">
        <v>38</v>
      </c>
      <c r="F291" s="1" t="s">
        <v>28</v>
      </c>
      <c r="G291" s="1">
        <v>6</v>
      </c>
      <c r="H291" s="1">
        <v>3640</v>
      </c>
      <c r="I291" s="5">
        <v>10</v>
      </c>
      <c r="J291" s="1" t="s">
        <v>24</v>
      </c>
      <c r="K291" s="1" t="s">
        <v>25</v>
      </c>
      <c r="L291" s="1">
        <f t="shared" si="21"/>
        <v>21840</v>
      </c>
      <c r="M291" s="1">
        <f t="shared" si="20"/>
        <v>2184</v>
      </c>
      <c r="N291" s="1">
        <f t="shared" si="22"/>
        <v>19656</v>
      </c>
      <c r="O291" s="1" t="str">
        <f t="shared" si="23"/>
        <v>January</v>
      </c>
      <c r="P291" s="1">
        <f t="shared" si="24"/>
        <v>2026</v>
      </c>
    </row>
    <row r="292" spans="1:16">
      <c r="A292" s="1">
        <v>1317</v>
      </c>
      <c r="B292" s="2">
        <v>46112</v>
      </c>
      <c r="C292" s="1" t="s">
        <v>33</v>
      </c>
      <c r="D292" s="1" t="s">
        <v>41</v>
      </c>
      <c r="E292" s="1" t="s">
        <v>34</v>
      </c>
      <c r="F292" s="1" t="s">
        <v>19</v>
      </c>
      <c r="G292" s="1">
        <v>3</v>
      </c>
      <c r="H292" s="1">
        <v>15087</v>
      </c>
      <c r="I292" s="5">
        <v>15</v>
      </c>
      <c r="J292" s="1" t="s">
        <v>20</v>
      </c>
      <c r="K292" s="1" t="s">
        <v>25</v>
      </c>
      <c r="L292" s="1">
        <f t="shared" si="21"/>
        <v>45261</v>
      </c>
      <c r="M292" s="1">
        <f t="shared" si="20"/>
        <v>6789.15</v>
      </c>
      <c r="N292" s="1">
        <f t="shared" si="22"/>
        <v>38471.85</v>
      </c>
      <c r="O292" s="1" t="str">
        <f t="shared" si="23"/>
        <v>March</v>
      </c>
      <c r="P292" s="1">
        <f t="shared" si="24"/>
        <v>2026</v>
      </c>
    </row>
    <row r="293" spans="1:16">
      <c r="A293" s="1">
        <v>1318</v>
      </c>
      <c r="B293" s="2">
        <v>46067</v>
      </c>
      <c r="C293" s="1" t="s">
        <v>16</v>
      </c>
      <c r="D293" s="1" t="s">
        <v>37</v>
      </c>
      <c r="E293" s="1" t="s">
        <v>38</v>
      </c>
      <c r="F293" s="1" t="s">
        <v>28</v>
      </c>
      <c r="G293" s="1">
        <v>6</v>
      </c>
      <c r="H293" s="1">
        <v>3906</v>
      </c>
      <c r="I293" s="5">
        <v>15</v>
      </c>
      <c r="J293" s="1" t="s">
        <v>24</v>
      </c>
      <c r="K293" s="1" t="s">
        <v>21</v>
      </c>
      <c r="L293" s="1">
        <f t="shared" si="21"/>
        <v>23436</v>
      </c>
      <c r="M293" s="1">
        <f t="shared" si="20"/>
        <v>3515.4</v>
      </c>
      <c r="N293" s="1">
        <f t="shared" si="22"/>
        <v>19920.599999999999</v>
      </c>
      <c r="O293" s="1" t="str">
        <f t="shared" si="23"/>
        <v>February</v>
      </c>
      <c r="P293" s="1">
        <f t="shared" si="24"/>
        <v>2026</v>
      </c>
    </row>
    <row r="294" spans="1:16">
      <c r="A294" s="1">
        <v>1319</v>
      </c>
      <c r="B294" s="2">
        <v>46097</v>
      </c>
      <c r="C294" s="1" t="s">
        <v>33</v>
      </c>
      <c r="D294" s="1" t="s">
        <v>31</v>
      </c>
      <c r="E294" s="1" t="s">
        <v>38</v>
      </c>
      <c r="F294" s="1" t="s">
        <v>28</v>
      </c>
      <c r="G294" s="1">
        <v>7</v>
      </c>
      <c r="H294" s="1">
        <v>3493</v>
      </c>
      <c r="I294" s="5">
        <v>5</v>
      </c>
      <c r="J294" s="1" t="s">
        <v>24</v>
      </c>
      <c r="K294" s="1" t="s">
        <v>29</v>
      </c>
      <c r="L294" s="1">
        <f t="shared" si="21"/>
        <v>24451</v>
      </c>
      <c r="M294" s="1">
        <f t="shared" si="20"/>
        <v>1222.55</v>
      </c>
      <c r="N294" s="1">
        <f t="shared" si="22"/>
        <v>23228.45</v>
      </c>
      <c r="O294" s="1" t="str">
        <f t="shared" si="23"/>
        <v>March</v>
      </c>
      <c r="P294" s="1">
        <f t="shared" si="24"/>
        <v>2026</v>
      </c>
    </row>
    <row r="295" spans="1:16">
      <c r="A295" s="1">
        <v>1320</v>
      </c>
      <c r="B295" s="2">
        <v>46104</v>
      </c>
      <c r="C295" s="1" t="s">
        <v>36</v>
      </c>
      <c r="D295" s="1" t="s">
        <v>31</v>
      </c>
      <c r="E295" s="1" t="s">
        <v>35</v>
      </c>
      <c r="F295" s="1" t="s">
        <v>19</v>
      </c>
      <c r="G295" s="1">
        <v>6</v>
      </c>
      <c r="H295" s="1">
        <v>9266</v>
      </c>
      <c r="I295" s="5">
        <v>0</v>
      </c>
      <c r="J295" s="1" t="s">
        <v>20</v>
      </c>
      <c r="K295" s="1" t="s">
        <v>21</v>
      </c>
      <c r="L295" s="1">
        <f t="shared" si="21"/>
        <v>55596</v>
      </c>
      <c r="M295" s="1">
        <f t="shared" si="20"/>
        <v>0</v>
      </c>
      <c r="N295" s="1">
        <f t="shared" si="22"/>
        <v>55596</v>
      </c>
      <c r="O295" s="1" t="str">
        <f t="shared" si="23"/>
        <v>March</v>
      </c>
      <c r="P295" s="1">
        <f t="shared" si="24"/>
        <v>2026</v>
      </c>
    </row>
    <row r="296" spans="1:16">
      <c r="A296" s="1">
        <v>1321</v>
      </c>
      <c r="B296" s="2">
        <v>46055</v>
      </c>
      <c r="C296" s="1" t="s">
        <v>29</v>
      </c>
      <c r="D296" s="1" t="s">
        <v>37</v>
      </c>
      <c r="E296" s="1" t="s">
        <v>18</v>
      </c>
      <c r="F296" s="1" t="s">
        <v>19</v>
      </c>
      <c r="G296" s="1">
        <v>2</v>
      </c>
      <c r="H296" s="1">
        <v>835</v>
      </c>
      <c r="I296" s="5">
        <v>5</v>
      </c>
      <c r="J296" s="1" t="s">
        <v>20</v>
      </c>
      <c r="K296" s="1" t="s">
        <v>25</v>
      </c>
      <c r="L296" s="1">
        <f t="shared" si="21"/>
        <v>1670</v>
      </c>
      <c r="M296" s="1">
        <f t="shared" si="20"/>
        <v>83.5</v>
      </c>
      <c r="N296" s="1">
        <f t="shared" si="22"/>
        <v>1586.5</v>
      </c>
      <c r="O296" s="1" t="str">
        <f t="shared" si="23"/>
        <v>February</v>
      </c>
      <c r="P296" s="1">
        <f t="shared" si="24"/>
        <v>2026</v>
      </c>
    </row>
    <row r="297" spans="1:16">
      <c r="A297" s="1">
        <v>1322</v>
      </c>
      <c r="B297" s="2">
        <v>46054</v>
      </c>
      <c r="C297" s="1" t="s">
        <v>36</v>
      </c>
      <c r="D297" s="1" t="s">
        <v>31</v>
      </c>
      <c r="E297" s="1" t="s">
        <v>32</v>
      </c>
      <c r="F297" s="1" t="s">
        <v>28</v>
      </c>
      <c r="G297" s="1">
        <v>6</v>
      </c>
      <c r="H297" s="1">
        <v>1238</v>
      </c>
      <c r="I297" s="5">
        <v>5</v>
      </c>
      <c r="J297" s="1" t="s">
        <v>20</v>
      </c>
      <c r="K297" s="1" t="s">
        <v>25</v>
      </c>
      <c r="L297" s="1">
        <f t="shared" si="21"/>
        <v>7428</v>
      </c>
      <c r="M297" s="1">
        <f t="shared" si="20"/>
        <v>371.40000000000003</v>
      </c>
      <c r="N297" s="1">
        <f t="shared" si="22"/>
        <v>7056.6</v>
      </c>
      <c r="O297" s="1" t="str">
        <f t="shared" si="23"/>
        <v>February</v>
      </c>
      <c r="P297" s="1">
        <f t="shared" si="24"/>
        <v>2026</v>
      </c>
    </row>
    <row r="298" spans="1:16">
      <c r="A298" s="1">
        <v>1323</v>
      </c>
      <c r="B298" s="2">
        <v>46106</v>
      </c>
      <c r="C298" s="1" t="s">
        <v>16</v>
      </c>
      <c r="D298" s="1" t="s">
        <v>31</v>
      </c>
      <c r="E298" s="1" t="s">
        <v>44</v>
      </c>
      <c r="F298" s="1" t="s">
        <v>19</v>
      </c>
      <c r="G298" s="1">
        <v>7</v>
      </c>
      <c r="H298" s="1">
        <v>6899</v>
      </c>
      <c r="I298" s="5">
        <v>15</v>
      </c>
      <c r="J298" s="1" t="s">
        <v>24</v>
      </c>
      <c r="K298" s="1" t="s">
        <v>25</v>
      </c>
      <c r="L298" s="1">
        <f t="shared" si="21"/>
        <v>48293</v>
      </c>
      <c r="M298" s="1">
        <f t="shared" si="20"/>
        <v>7243.95</v>
      </c>
      <c r="N298" s="1">
        <f t="shared" si="22"/>
        <v>41049.050000000003</v>
      </c>
      <c r="O298" s="1" t="str">
        <f t="shared" si="23"/>
        <v>March</v>
      </c>
      <c r="P298" s="1">
        <f t="shared" si="24"/>
        <v>2026</v>
      </c>
    </row>
    <row r="299" spans="1:16">
      <c r="A299" s="1">
        <v>1324</v>
      </c>
      <c r="B299" s="2">
        <v>46086</v>
      </c>
      <c r="C299" s="1" t="s">
        <v>30</v>
      </c>
      <c r="D299" s="1" t="s">
        <v>17</v>
      </c>
      <c r="E299" s="1" t="s">
        <v>34</v>
      </c>
      <c r="F299" s="1" t="s">
        <v>19</v>
      </c>
      <c r="G299" s="1">
        <v>5</v>
      </c>
      <c r="H299" s="1">
        <v>14956</v>
      </c>
      <c r="I299" s="5">
        <v>5</v>
      </c>
      <c r="J299" s="1" t="s">
        <v>20</v>
      </c>
      <c r="K299" s="1" t="s">
        <v>21</v>
      </c>
      <c r="L299" s="1">
        <f t="shared" si="21"/>
        <v>74780</v>
      </c>
      <c r="M299" s="1">
        <f t="shared" si="20"/>
        <v>3739</v>
      </c>
      <c r="N299" s="1">
        <f t="shared" si="22"/>
        <v>71041</v>
      </c>
      <c r="O299" s="1" t="str">
        <f t="shared" si="23"/>
        <v>March</v>
      </c>
      <c r="P299" s="1">
        <f t="shared" si="24"/>
        <v>2026</v>
      </c>
    </row>
    <row r="300" spans="1:16">
      <c r="A300" s="1">
        <v>1325</v>
      </c>
      <c r="B300" s="2">
        <v>46079</v>
      </c>
      <c r="C300" s="1" t="s">
        <v>29</v>
      </c>
      <c r="D300" s="1" t="s">
        <v>45</v>
      </c>
      <c r="E300" s="1" t="s">
        <v>27</v>
      </c>
      <c r="F300" s="1" t="s">
        <v>28</v>
      </c>
      <c r="G300" s="1">
        <v>9</v>
      </c>
      <c r="H300" s="1">
        <v>10146</v>
      </c>
      <c r="I300" s="5">
        <v>15</v>
      </c>
      <c r="J300" s="1" t="s">
        <v>20</v>
      </c>
      <c r="K300" s="1" t="s">
        <v>29</v>
      </c>
      <c r="L300" s="1">
        <f t="shared" si="21"/>
        <v>91314</v>
      </c>
      <c r="M300" s="1">
        <f t="shared" si="20"/>
        <v>13697.1</v>
      </c>
      <c r="N300" s="1">
        <f t="shared" si="22"/>
        <v>77616.899999999994</v>
      </c>
      <c r="O300" s="1" t="str">
        <f t="shared" si="23"/>
        <v>February</v>
      </c>
      <c r="P300" s="1">
        <f t="shared" si="24"/>
        <v>2026</v>
      </c>
    </row>
    <row r="301" spans="1:16">
      <c r="A301" s="1">
        <v>1326</v>
      </c>
      <c r="B301" s="2">
        <v>46107</v>
      </c>
      <c r="C301" s="1" t="s">
        <v>39</v>
      </c>
      <c r="D301" s="1" t="s">
        <v>37</v>
      </c>
      <c r="E301" s="1" t="s">
        <v>23</v>
      </c>
      <c r="F301" s="1" t="s">
        <v>19</v>
      </c>
      <c r="G301" s="1">
        <v>5</v>
      </c>
      <c r="H301" s="1">
        <v>1121</v>
      </c>
      <c r="I301" s="5">
        <v>5</v>
      </c>
      <c r="J301" s="1" t="s">
        <v>20</v>
      </c>
      <c r="K301" s="1" t="s">
        <v>29</v>
      </c>
      <c r="L301" s="1">
        <f t="shared" si="21"/>
        <v>5605</v>
      </c>
      <c r="M301" s="1">
        <f t="shared" si="20"/>
        <v>280.25</v>
      </c>
      <c r="N301" s="1">
        <f t="shared" si="22"/>
        <v>5324.75</v>
      </c>
      <c r="O301" s="1" t="str">
        <f t="shared" si="23"/>
        <v>March</v>
      </c>
      <c r="P301" s="1">
        <f t="shared" si="24"/>
        <v>2026</v>
      </c>
    </row>
    <row r="302" spans="1:16">
      <c r="A302" s="1">
        <v>1327</v>
      </c>
      <c r="B302" s="2">
        <v>46101</v>
      </c>
      <c r="C302" s="1" t="s">
        <v>36</v>
      </c>
      <c r="D302" s="1" t="s">
        <v>17</v>
      </c>
      <c r="E302" s="1" t="s">
        <v>27</v>
      </c>
      <c r="F302" s="1" t="s">
        <v>28</v>
      </c>
      <c r="G302" s="1">
        <v>9</v>
      </c>
      <c r="H302" s="1">
        <v>10345</v>
      </c>
      <c r="I302" s="5">
        <v>15</v>
      </c>
      <c r="J302" s="1" t="s">
        <v>20</v>
      </c>
      <c r="K302" s="1" t="s">
        <v>21</v>
      </c>
      <c r="L302" s="1">
        <f t="shared" si="21"/>
        <v>93105</v>
      </c>
      <c r="M302" s="1">
        <f t="shared" si="20"/>
        <v>13965.75</v>
      </c>
      <c r="N302" s="1">
        <f t="shared" si="22"/>
        <v>79139.25</v>
      </c>
      <c r="O302" s="1" t="str">
        <f t="shared" si="23"/>
        <v>March</v>
      </c>
      <c r="P302" s="1">
        <f t="shared" si="24"/>
        <v>2026</v>
      </c>
    </row>
    <row r="303" spans="1:16">
      <c r="A303" s="1">
        <v>1328</v>
      </c>
      <c r="B303" s="2">
        <v>46049</v>
      </c>
      <c r="C303" s="1" t="s">
        <v>21</v>
      </c>
      <c r="D303" s="1" t="s">
        <v>31</v>
      </c>
      <c r="E303" s="1" t="s">
        <v>38</v>
      </c>
      <c r="F303" s="1" t="s">
        <v>28</v>
      </c>
      <c r="G303" s="1">
        <v>6</v>
      </c>
      <c r="H303" s="1">
        <v>3174</v>
      </c>
      <c r="I303" s="5">
        <v>10</v>
      </c>
      <c r="J303" s="1" t="s">
        <v>20</v>
      </c>
      <c r="K303" s="1" t="s">
        <v>21</v>
      </c>
      <c r="L303" s="1">
        <f t="shared" si="21"/>
        <v>19044</v>
      </c>
      <c r="M303" s="1">
        <f t="shared" si="20"/>
        <v>1904.4</v>
      </c>
      <c r="N303" s="1">
        <f t="shared" si="22"/>
        <v>17139.599999999999</v>
      </c>
      <c r="O303" s="1" t="str">
        <f t="shared" si="23"/>
        <v>January</v>
      </c>
      <c r="P303" s="1">
        <f t="shared" si="24"/>
        <v>2026</v>
      </c>
    </row>
    <row r="304" spans="1:16">
      <c r="A304" s="1">
        <v>1329</v>
      </c>
      <c r="B304" s="2">
        <v>46113</v>
      </c>
      <c r="C304" s="1" t="s">
        <v>16</v>
      </c>
      <c r="D304" s="1" t="s">
        <v>17</v>
      </c>
      <c r="E304" s="1" t="s">
        <v>38</v>
      </c>
      <c r="F304" s="1" t="s">
        <v>28</v>
      </c>
      <c r="G304" s="1">
        <v>10</v>
      </c>
      <c r="H304" s="1">
        <v>3869</v>
      </c>
      <c r="I304" s="5">
        <v>5</v>
      </c>
      <c r="J304" s="1" t="s">
        <v>24</v>
      </c>
      <c r="K304" s="1" t="s">
        <v>29</v>
      </c>
      <c r="L304" s="1">
        <f t="shared" si="21"/>
        <v>38690</v>
      </c>
      <c r="M304" s="1">
        <f t="shared" si="20"/>
        <v>1934.5</v>
      </c>
      <c r="N304" s="1">
        <f t="shared" si="22"/>
        <v>36755.5</v>
      </c>
      <c r="O304" s="1" t="str">
        <f t="shared" si="23"/>
        <v>April</v>
      </c>
      <c r="P304" s="1">
        <f t="shared" si="24"/>
        <v>2026</v>
      </c>
    </row>
    <row r="305" spans="1:16">
      <c r="A305" s="1">
        <v>1330</v>
      </c>
      <c r="B305" s="2">
        <v>46073</v>
      </c>
      <c r="C305" s="1" t="s">
        <v>42</v>
      </c>
      <c r="D305" s="1" t="s">
        <v>31</v>
      </c>
      <c r="E305" s="1" t="s">
        <v>44</v>
      </c>
      <c r="F305" s="1" t="s">
        <v>19</v>
      </c>
      <c r="G305" s="1">
        <v>4</v>
      </c>
      <c r="H305" s="1">
        <v>7243</v>
      </c>
      <c r="I305" s="5">
        <v>15</v>
      </c>
      <c r="J305" s="1" t="s">
        <v>24</v>
      </c>
      <c r="K305" s="1" t="s">
        <v>21</v>
      </c>
      <c r="L305" s="1">
        <f t="shared" si="21"/>
        <v>28972</v>
      </c>
      <c r="M305" s="1">
        <f t="shared" si="20"/>
        <v>4345.8</v>
      </c>
      <c r="N305" s="1">
        <f t="shared" si="22"/>
        <v>24626.2</v>
      </c>
      <c r="O305" s="1" t="str">
        <f t="shared" si="23"/>
        <v>February</v>
      </c>
      <c r="P305" s="1">
        <f t="shared" si="24"/>
        <v>2026</v>
      </c>
    </row>
    <row r="306" spans="1:16">
      <c r="A306" s="1">
        <v>1331</v>
      </c>
      <c r="B306" s="2">
        <v>46044</v>
      </c>
      <c r="C306" s="1" t="s">
        <v>22</v>
      </c>
      <c r="D306" s="1" t="s">
        <v>31</v>
      </c>
      <c r="E306" s="1" t="s">
        <v>35</v>
      </c>
      <c r="F306" s="1" t="s">
        <v>19</v>
      </c>
      <c r="G306" s="1">
        <v>8</v>
      </c>
      <c r="H306" s="1">
        <v>8850</v>
      </c>
      <c r="I306" s="5">
        <v>5</v>
      </c>
      <c r="J306" s="1" t="s">
        <v>20</v>
      </c>
      <c r="K306" s="1" t="s">
        <v>29</v>
      </c>
      <c r="L306" s="1">
        <f t="shared" si="21"/>
        <v>70800</v>
      </c>
      <c r="M306" s="1">
        <f t="shared" si="20"/>
        <v>3540</v>
      </c>
      <c r="N306" s="1">
        <f t="shared" si="22"/>
        <v>67260</v>
      </c>
      <c r="O306" s="1" t="str">
        <f t="shared" si="23"/>
        <v>January</v>
      </c>
      <c r="P306" s="1">
        <f t="shared" si="24"/>
        <v>2026</v>
      </c>
    </row>
    <row r="307" spans="1:16">
      <c r="A307" s="1">
        <v>1332</v>
      </c>
      <c r="B307" s="2">
        <v>46104</v>
      </c>
      <c r="C307" s="1" t="s">
        <v>21</v>
      </c>
      <c r="D307" s="1" t="s">
        <v>37</v>
      </c>
      <c r="E307" s="1" t="s">
        <v>32</v>
      </c>
      <c r="F307" s="1" t="s">
        <v>28</v>
      </c>
      <c r="G307" s="1">
        <v>4</v>
      </c>
      <c r="H307" s="1">
        <v>882</v>
      </c>
      <c r="I307" s="5">
        <v>0</v>
      </c>
      <c r="J307" s="1" t="s">
        <v>20</v>
      </c>
      <c r="K307" s="1" t="s">
        <v>21</v>
      </c>
      <c r="L307" s="1">
        <f t="shared" si="21"/>
        <v>3528</v>
      </c>
      <c r="M307" s="1">
        <f t="shared" si="20"/>
        <v>0</v>
      </c>
      <c r="N307" s="1">
        <f t="shared" si="22"/>
        <v>3528</v>
      </c>
      <c r="O307" s="1" t="str">
        <f t="shared" si="23"/>
        <v>March</v>
      </c>
      <c r="P307" s="1">
        <f t="shared" si="24"/>
        <v>2026</v>
      </c>
    </row>
    <row r="308" spans="1:16">
      <c r="A308" s="1">
        <v>1333</v>
      </c>
      <c r="B308" s="2">
        <v>46031</v>
      </c>
      <c r="C308" s="1" t="s">
        <v>33</v>
      </c>
      <c r="D308" s="1" t="s">
        <v>45</v>
      </c>
      <c r="E308" s="1" t="s">
        <v>38</v>
      </c>
      <c r="F308" s="1" t="s">
        <v>28</v>
      </c>
      <c r="G308" s="1">
        <v>3</v>
      </c>
      <c r="H308" s="1">
        <v>3126</v>
      </c>
      <c r="I308" s="5">
        <v>5</v>
      </c>
      <c r="J308" s="1" t="s">
        <v>24</v>
      </c>
      <c r="K308" s="1" t="s">
        <v>29</v>
      </c>
      <c r="L308" s="1">
        <f t="shared" si="21"/>
        <v>9378</v>
      </c>
      <c r="M308" s="1">
        <f t="shared" si="20"/>
        <v>468.90000000000003</v>
      </c>
      <c r="N308" s="1">
        <f t="shared" si="22"/>
        <v>8909.1</v>
      </c>
      <c r="O308" s="1" t="str">
        <f t="shared" si="23"/>
        <v>January</v>
      </c>
      <c r="P308" s="1">
        <f t="shared" si="24"/>
        <v>2026</v>
      </c>
    </row>
    <row r="309" spans="1:16">
      <c r="A309" s="1">
        <v>1334</v>
      </c>
      <c r="B309" s="2">
        <v>46104</v>
      </c>
      <c r="C309" s="1" t="s">
        <v>42</v>
      </c>
      <c r="D309" s="1" t="s">
        <v>41</v>
      </c>
      <c r="E309" s="1" t="s">
        <v>44</v>
      </c>
      <c r="F309" s="1" t="s">
        <v>19</v>
      </c>
      <c r="G309" s="1">
        <v>7</v>
      </c>
      <c r="H309" s="1">
        <v>7334</v>
      </c>
      <c r="I309" s="5">
        <v>5</v>
      </c>
      <c r="J309" s="1" t="s">
        <v>20</v>
      </c>
      <c r="K309" s="1" t="s">
        <v>21</v>
      </c>
      <c r="L309" s="1">
        <f t="shared" si="21"/>
        <v>51338</v>
      </c>
      <c r="M309" s="1">
        <f t="shared" si="20"/>
        <v>2566.9</v>
      </c>
      <c r="N309" s="1">
        <f t="shared" si="22"/>
        <v>48771.1</v>
      </c>
      <c r="O309" s="1" t="str">
        <f t="shared" si="23"/>
        <v>March</v>
      </c>
      <c r="P309" s="1">
        <f t="shared" si="24"/>
        <v>2026</v>
      </c>
    </row>
    <row r="310" spans="1:16">
      <c r="A310" s="1">
        <v>1335</v>
      </c>
      <c r="B310" s="2">
        <v>46104</v>
      </c>
      <c r="C310" s="1" t="s">
        <v>43</v>
      </c>
      <c r="D310" s="1" t="s">
        <v>41</v>
      </c>
      <c r="E310" s="1" t="s">
        <v>27</v>
      </c>
      <c r="F310" s="1" t="s">
        <v>28</v>
      </c>
      <c r="G310" s="1">
        <v>5</v>
      </c>
      <c r="H310" s="1">
        <v>9505</v>
      </c>
      <c r="I310" s="5">
        <v>0</v>
      </c>
      <c r="J310" s="1" t="s">
        <v>24</v>
      </c>
      <c r="K310" s="1" t="s">
        <v>25</v>
      </c>
      <c r="L310" s="1">
        <f t="shared" si="21"/>
        <v>47525</v>
      </c>
      <c r="M310" s="1">
        <f t="shared" si="20"/>
        <v>0</v>
      </c>
      <c r="N310" s="1">
        <f t="shared" si="22"/>
        <v>47525</v>
      </c>
      <c r="O310" s="1" t="str">
        <f t="shared" si="23"/>
        <v>March</v>
      </c>
      <c r="P310" s="1">
        <f t="shared" si="24"/>
        <v>2026</v>
      </c>
    </row>
    <row r="311" spans="1:16">
      <c r="A311" s="1">
        <v>1336</v>
      </c>
      <c r="B311" s="2">
        <v>46045</v>
      </c>
      <c r="C311" s="1" t="s">
        <v>26</v>
      </c>
      <c r="D311" s="1" t="s">
        <v>31</v>
      </c>
      <c r="E311" s="1" t="s">
        <v>23</v>
      </c>
      <c r="F311" s="1" t="s">
        <v>19</v>
      </c>
      <c r="G311" s="1">
        <v>10</v>
      </c>
      <c r="H311" s="1">
        <v>1146</v>
      </c>
      <c r="I311" s="5">
        <v>0</v>
      </c>
      <c r="J311" s="1" t="s">
        <v>24</v>
      </c>
      <c r="K311" s="1" t="s">
        <v>25</v>
      </c>
      <c r="L311" s="1">
        <f t="shared" si="21"/>
        <v>11460</v>
      </c>
      <c r="M311" s="1">
        <f t="shared" si="20"/>
        <v>0</v>
      </c>
      <c r="N311" s="1">
        <f t="shared" si="22"/>
        <v>11460</v>
      </c>
      <c r="O311" s="1" t="str">
        <f t="shared" si="23"/>
        <v>January</v>
      </c>
      <c r="P311" s="1">
        <f t="shared" si="24"/>
        <v>2026</v>
      </c>
    </row>
    <row r="312" spans="1:16">
      <c r="A312" s="1">
        <v>1338</v>
      </c>
      <c r="B312" s="2">
        <v>46052</v>
      </c>
      <c r="C312" s="1" t="s">
        <v>40</v>
      </c>
      <c r="D312" s="1" t="s">
        <v>41</v>
      </c>
      <c r="E312" s="1" t="s">
        <v>27</v>
      </c>
      <c r="F312" s="1" t="s">
        <v>28</v>
      </c>
      <c r="G312" s="1">
        <v>7</v>
      </c>
      <c r="H312" s="1">
        <v>9729</v>
      </c>
      <c r="I312" s="5">
        <v>0</v>
      </c>
      <c r="J312" s="1" t="s">
        <v>24</v>
      </c>
      <c r="K312" s="1" t="s">
        <v>21</v>
      </c>
      <c r="L312" s="1">
        <f t="shared" si="21"/>
        <v>68103</v>
      </c>
      <c r="M312" s="1">
        <f t="shared" si="20"/>
        <v>0</v>
      </c>
      <c r="N312" s="1">
        <f t="shared" si="22"/>
        <v>68103</v>
      </c>
      <c r="O312" s="1" t="str">
        <f t="shared" si="23"/>
        <v>January</v>
      </c>
      <c r="P312" s="1">
        <f t="shared" si="24"/>
        <v>2026</v>
      </c>
    </row>
    <row r="313" spans="1:16">
      <c r="A313" s="1">
        <v>1339</v>
      </c>
      <c r="B313" s="2">
        <v>46053</v>
      </c>
      <c r="C313" s="1" t="s">
        <v>43</v>
      </c>
      <c r="D313" s="1" t="s">
        <v>17</v>
      </c>
      <c r="E313" s="1" t="s">
        <v>27</v>
      </c>
      <c r="F313" s="1" t="s">
        <v>28</v>
      </c>
      <c r="G313" s="1">
        <v>6</v>
      </c>
      <c r="H313" s="1">
        <v>10161</v>
      </c>
      <c r="I313" s="5">
        <v>10</v>
      </c>
      <c r="J313" s="1" t="s">
        <v>24</v>
      </c>
      <c r="K313" s="1" t="s">
        <v>25</v>
      </c>
      <c r="L313" s="1">
        <f t="shared" si="21"/>
        <v>60966</v>
      </c>
      <c r="M313" s="1">
        <f t="shared" si="20"/>
        <v>6096.6</v>
      </c>
      <c r="N313" s="1">
        <f t="shared" si="22"/>
        <v>54869.4</v>
      </c>
      <c r="O313" s="1" t="str">
        <f t="shared" si="23"/>
        <v>January</v>
      </c>
      <c r="P313" s="1">
        <f t="shared" si="24"/>
        <v>2026</v>
      </c>
    </row>
    <row r="314" spans="1:16">
      <c r="A314" s="1">
        <v>1340</v>
      </c>
      <c r="B314" s="2">
        <v>46029</v>
      </c>
      <c r="C314" s="1" t="s">
        <v>43</v>
      </c>
      <c r="D314" s="1" t="s">
        <v>31</v>
      </c>
      <c r="E314" s="1" t="s">
        <v>34</v>
      </c>
      <c r="F314" s="1" t="s">
        <v>19</v>
      </c>
      <c r="G314" s="1">
        <v>6</v>
      </c>
      <c r="H314" s="1">
        <v>14808</v>
      </c>
      <c r="I314" s="5">
        <v>0</v>
      </c>
      <c r="J314" s="1" t="s">
        <v>24</v>
      </c>
      <c r="K314" s="1" t="s">
        <v>25</v>
      </c>
      <c r="L314" s="1">
        <f t="shared" si="21"/>
        <v>88848</v>
      </c>
      <c r="M314" s="1">
        <f t="shared" si="20"/>
        <v>0</v>
      </c>
      <c r="N314" s="1">
        <f t="shared" si="22"/>
        <v>88848</v>
      </c>
      <c r="O314" s="1" t="str">
        <f t="shared" si="23"/>
        <v>January</v>
      </c>
      <c r="P314" s="1">
        <f t="shared" si="24"/>
        <v>2026</v>
      </c>
    </row>
    <row r="315" spans="1:16">
      <c r="A315" s="1">
        <v>1341</v>
      </c>
      <c r="B315" s="2">
        <v>46066</v>
      </c>
      <c r="C315" s="1" t="s">
        <v>43</v>
      </c>
      <c r="D315" s="1" t="s">
        <v>17</v>
      </c>
      <c r="E315" s="1" t="s">
        <v>44</v>
      </c>
      <c r="F315" s="1" t="s">
        <v>19</v>
      </c>
      <c r="G315" s="1">
        <v>7</v>
      </c>
      <c r="H315" s="1">
        <v>7328</v>
      </c>
      <c r="I315" s="5">
        <v>5</v>
      </c>
      <c r="J315" s="1" t="s">
        <v>20</v>
      </c>
      <c r="K315" s="1" t="s">
        <v>21</v>
      </c>
      <c r="L315" s="1">
        <f t="shared" si="21"/>
        <v>51296</v>
      </c>
      <c r="M315" s="1">
        <f t="shared" si="20"/>
        <v>2564.8000000000002</v>
      </c>
      <c r="N315" s="1">
        <f t="shared" si="22"/>
        <v>48731.199999999997</v>
      </c>
      <c r="O315" s="1" t="str">
        <f t="shared" si="23"/>
        <v>February</v>
      </c>
      <c r="P315" s="1">
        <f t="shared" si="24"/>
        <v>2026</v>
      </c>
    </row>
    <row r="316" spans="1:16">
      <c r="A316" s="1">
        <v>1342</v>
      </c>
      <c r="B316" s="2">
        <v>46069</v>
      </c>
      <c r="C316" s="1" t="s">
        <v>43</v>
      </c>
      <c r="D316" s="1" t="s">
        <v>45</v>
      </c>
      <c r="E316" s="1" t="s">
        <v>35</v>
      </c>
      <c r="F316" s="1" t="s">
        <v>19</v>
      </c>
      <c r="G316" s="1">
        <v>1</v>
      </c>
      <c r="H316" s="1">
        <v>8533</v>
      </c>
      <c r="I316" s="5">
        <v>10</v>
      </c>
      <c r="J316" s="1" t="s">
        <v>24</v>
      </c>
      <c r="K316" s="1" t="s">
        <v>25</v>
      </c>
      <c r="L316" s="1">
        <f t="shared" si="21"/>
        <v>8533</v>
      </c>
      <c r="M316" s="1">
        <f t="shared" si="20"/>
        <v>853.30000000000007</v>
      </c>
      <c r="N316" s="1">
        <f t="shared" si="22"/>
        <v>7679.7</v>
      </c>
      <c r="O316" s="1" t="str">
        <f t="shared" si="23"/>
        <v>February</v>
      </c>
      <c r="P316" s="1">
        <f t="shared" si="24"/>
        <v>2026</v>
      </c>
    </row>
    <row r="317" spans="1:16">
      <c r="A317" s="1">
        <v>1343</v>
      </c>
      <c r="B317" s="2">
        <v>46085</v>
      </c>
      <c r="C317" s="1" t="s">
        <v>30</v>
      </c>
      <c r="D317" s="1" t="s">
        <v>17</v>
      </c>
      <c r="E317" s="1" t="s">
        <v>18</v>
      </c>
      <c r="F317" s="1" t="s">
        <v>19</v>
      </c>
      <c r="G317" s="1">
        <v>8</v>
      </c>
      <c r="H317" s="1">
        <v>489</v>
      </c>
      <c r="I317" s="5">
        <v>0</v>
      </c>
      <c r="J317" s="1" t="s">
        <v>20</v>
      </c>
      <c r="K317" s="1" t="s">
        <v>29</v>
      </c>
      <c r="L317" s="1">
        <f t="shared" si="21"/>
        <v>3912</v>
      </c>
      <c r="M317" s="1">
        <f t="shared" si="20"/>
        <v>0</v>
      </c>
      <c r="N317" s="1">
        <f t="shared" si="22"/>
        <v>3912</v>
      </c>
      <c r="O317" s="1" t="str">
        <f t="shared" si="23"/>
        <v>March</v>
      </c>
      <c r="P317" s="1">
        <f t="shared" si="24"/>
        <v>2026</v>
      </c>
    </row>
    <row r="318" spans="1:16">
      <c r="A318" s="1">
        <v>1344</v>
      </c>
      <c r="B318" s="2">
        <v>46065</v>
      </c>
      <c r="C318" s="1" t="s">
        <v>22</v>
      </c>
      <c r="D318" s="1" t="s">
        <v>45</v>
      </c>
      <c r="E318" s="1" t="s">
        <v>32</v>
      </c>
      <c r="F318" s="1" t="s">
        <v>28</v>
      </c>
      <c r="G318" s="1">
        <v>2</v>
      </c>
      <c r="H318" s="1">
        <v>1625</v>
      </c>
      <c r="I318" s="5">
        <v>0</v>
      </c>
      <c r="J318" s="1" t="s">
        <v>24</v>
      </c>
      <c r="K318" s="1" t="s">
        <v>29</v>
      </c>
      <c r="L318" s="1">
        <f t="shared" si="21"/>
        <v>3250</v>
      </c>
      <c r="M318" s="1">
        <f t="shared" si="20"/>
        <v>0</v>
      </c>
      <c r="N318" s="1">
        <f t="shared" si="22"/>
        <v>3250</v>
      </c>
      <c r="O318" s="1" t="str">
        <f t="shared" si="23"/>
        <v>February</v>
      </c>
      <c r="P318" s="1">
        <f t="shared" si="24"/>
        <v>2026</v>
      </c>
    </row>
    <row r="319" spans="1:16">
      <c r="A319" s="1">
        <v>1345</v>
      </c>
      <c r="B319" s="2">
        <v>46053</v>
      </c>
      <c r="C319" s="1" t="s">
        <v>42</v>
      </c>
      <c r="D319" s="1" t="s">
        <v>17</v>
      </c>
      <c r="E319" s="1" t="s">
        <v>27</v>
      </c>
      <c r="F319" s="1" t="s">
        <v>28</v>
      </c>
      <c r="G319" s="1">
        <v>1</v>
      </c>
      <c r="H319" s="1">
        <v>10350</v>
      </c>
      <c r="I319" s="5">
        <v>5</v>
      </c>
      <c r="J319" s="1" t="s">
        <v>24</v>
      </c>
      <c r="K319" s="1" t="s">
        <v>21</v>
      </c>
      <c r="L319" s="1">
        <f t="shared" si="21"/>
        <v>10350</v>
      </c>
      <c r="M319" s="1">
        <f t="shared" si="20"/>
        <v>517.5</v>
      </c>
      <c r="N319" s="1">
        <f t="shared" si="22"/>
        <v>9832.5</v>
      </c>
      <c r="O319" s="1" t="str">
        <f t="shared" si="23"/>
        <v>January</v>
      </c>
      <c r="P319" s="1">
        <f t="shared" si="24"/>
        <v>2026</v>
      </c>
    </row>
    <row r="320" spans="1:16">
      <c r="A320" s="1">
        <v>1346</v>
      </c>
      <c r="B320" s="2">
        <v>46083</v>
      </c>
      <c r="C320" s="1" t="s">
        <v>16</v>
      </c>
      <c r="D320" s="1" t="s">
        <v>31</v>
      </c>
      <c r="E320" s="1" t="s">
        <v>32</v>
      </c>
      <c r="F320" s="1" t="s">
        <v>28</v>
      </c>
      <c r="G320" s="1">
        <v>7</v>
      </c>
      <c r="H320" s="1">
        <v>782</v>
      </c>
      <c r="I320" s="5">
        <v>5</v>
      </c>
      <c r="J320" s="1" t="s">
        <v>20</v>
      </c>
      <c r="K320" s="1" t="s">
        <v>25</v>
      </c>
      <c r="L320" s="1">
        <f t="shared" si="21"/>
        <v>5474</v>
      </c>
      <c r="M320" s="1">
        <f t="shared" si="20"/>
        <v>273.7</v>
      </c>
      <c r="N320" s="1">
        <f t="shared" si="22"/>
        <v>5200.3</v>
      </c>
      <c r="O320" s="1" t="str">
        <f t="shared" si="23"/>
        <v>March</v>
      </c>
      <c r="P320" s="1">
        <f t="shared" si="24"/>
        <v>2026</v>
      </c>
    </row>
    <row r="321" spans="1:16">
      <c r="A321" s="1">
        <v>1348</v>
      </c>
      <c r="B321" s="2">
        <v>46052</v>
      </c>
      <c r="C321" s="1" t="s">
        <v>40</v>
      </c>
      <c r="D321" s="1" t="s">
        <v>17</v>
      </c>
      <c r="E321" s="1" t="s">
        <v>27</v>
      </c>
      <c r="F321" s="1" t="s">
        <v>28</v>
      </c>
      <c r="G321" s="1">
        <v>6</v>
      </c>
      <c r="H321" s="1">
        <v>9872</v>
      </c>
      <c r="I321" s="5">
        <v>5</v>
      </c>
      <c r="J321" s="1" t="s">
        <v>20</v>
      </c>
      <c r="K321" s="1" t="s">
        <v>29</v>
      </c>
      <c r="L321" s="1">
        <f t="shared" si="21"/>
        <v>59232</v>
      </c>
      <c r="M321" s="1">
        <f t="shared" si="20"/>
        <v>2961.6000000000004</v>
      </c>
      <c r="N321" s="1">
        <f t="shared" si="22"/>
        <v>56270.400000000001</v>
      </c>
      <c r="O321" s="1" t="str">
        <f t="shared" si="23"/>
        <v>January</v>
      </c>
      <c r="P321" s="1">
        <f t="shared" si="24"/>
        <v>2026</v>
      </c>
    </row>
    <row r="322" spans="1:16">
      <c r="A322" s="1">
        <v>1349</v>
      </c>
      <c r="B322" s="2">
        <v>46028</v>
      </c>
      <c r="C322" s="1" t="s">
        <v>30</v>
      </c>
      <c r="D322" s="1" t="s">
        <v>37</v>
      </c>
      <c r="E322" s="1" t="s">
        <v>18</v>
      </c>
      <c r="F322" s="1" t="s">
        <v>19</v>
      </c>
      <c r="G322" s="1">
        <v>9</v>
      </c>
      <c r="H322" s="1">
        <v>346</v>
      </c>
      <c r="I322" s="5">
        <v>0</v>
      </c>
      <c r="J322" s="1" t="s">
        <v>24</v>
      </c>
      <c r="K322" s="1" t="s">
        <v>21</v>
      </c>
      <c r="L322" s="1">
        <f t="shared" si="21"/>
        <v>3114</v>
      </c>
      <c r="M322" s="1">
        <f t="shared" ref="M322:M370" si="25">L322*(I322/100)</f>
        <v>0</v>
      </c>
      <c r="N322" s="1">
        <f t="shared" si="22"/>
        <v>3114</v>
      </c>
      <c r="O322" s="1" t="str">
        <f t="shared" si="23"/>
        <v>January</v>
      </c>
      <c r="P322" s="1">
        <f t="shared" si="24"/>
        <v>2026</v>
      </c>
    </row>
    <row r="323" spans="1:16">
      <c r="A323" s="1">
        <v>1350</v>
      </c>
      <c r="B323" s="2">
        <v>46078</v>
      </c>
      <c r="C323" s="1" t="s">
        <v>33</v>
      </c>
      <c r="D323" s="1" t="s">
        <v>17</v>
      </c>
      <c r="E323" s="1" t="s">
        <v>18</v>
      </c>
      <c r="F323" s="1" t="s">
        <v>19</v>
      </c>
      <c r="G323" s="1">
        <v>10</v>
      </c>
      <c r="H323" s="1">
        <v>911</v>
      </c>
      <c r="I323" s="5">
        <v>15</v>
      </c>
      <c r="J323" s="1" t="s">
        <v>20</v>
      </c>
      <c r="K323" s="1" t="s">
        <v>25</v>
      </c>
      <c r="L323" s="1">
        <f t="shared" ref="L323:L370" si="26">G323*H323</f>
        <v>9110</v>
      </c>
      <c r="M323" s="1">
        <f t="shared" si="25"/>
        <v>1366.5</v>
      </c>
      <c r="N323" s="1">
        <f t="shared" ref="N323:N370" si="27">L323-M323</f>
        <v>7743.5</v>
      </c>
      <c r="O323" s="1" t="str">
        <f t="shared" ref="O323:O370" si="28">TEXT(B323,"mmmm")</f>
        <v>February</v>
      </c>
      <c r="P323" s="1">
        <f t="shared" ref="P323:P370" si="29">YEAR(B323)</f>
        <v>2026</v>
      </c>
    </row>
    <row r="324" spans="1:16">
      <c r="A324" s="1">
        <v>1351</v>
      </c>
      <c r="B324" s="2">
        <v>46047</v>
      </c>
      <c r="C324" s="1" t="s">
        <v>42</v>
      </c>
      <c r="D324" s="1" t="s">
        <v>31</v>
      </c>
      <c r="E324" s="1" t="s">
        <v>44</v>
      </c>
      <c r="F324" s="1" t="s">
        <v>19</v>
      </c>
      <c r="G324" s="1">
        <v>10</v>
      </c>
      <c r="H324" s="1">
        <v>6550</v>
      </c>
      <c r="I324" s="5">
        <v>0</v>
      </c>
      <c r="J324" s="1" t="s">
        <v>20</v>
      </c>
      <c r="K324" s="1" t="s">
        <v>21</v>
      </c>
      <c r="L324" s="1">
        <f t="shared" si="26"/>
        <v>65500</v>
      </c>
      <c r="M324" s="1">
        <f t="shared" si="25"/>
        <v>0</v>
      </c>
      <c r="N324" s="1">
        <f t="shared" si="27"/>
        <v>65500</v>
      </c>
      <c r="O324" s="1" t="str">
        <f t="shared" si="28"/>
        <v>January</v>
      </c>
      <c r="P324" s="1">
        <f t="shared" si="29"/>
        <v>2026</v>
      </c>
    </row>
    <row r="325" spans="1:16">
      <c r="A325" s="1">
        <v>1352</v>
      </c>
      <c r="B325" s="2">
        <v>46026</v>
      </c>
      <c r="C325" s="1" t="s">
        <v>40</v>
      </c>
      <c r="D325" s="1" t="s">
        <v>31</v>
      </c>
      <c r="E325" s="1" t="s">
        <v>18</v>
      </c>
      <c r="F325" s="1" t="s">
        <v>19</v>
      </c>
      <c r="G325" s="1">
        <v>9</v>
      </c>
      <c r="H325" s="1">
        <v>534</v>
      </c>
      <c r="I325" s="5">
        <v>10</v>
      </c>
      <c r="J325" s="1" t="s">
        <v>20</v>
      </c>
      <c r="K325" s="1" t="s">
        <v>29</v>
      </c>
      <c r="L325" s="1">
        <f t="shared" si="26"/>
        <v>4806</v>
      </c>
      <c r="M325" s="1">
        <f t="shared" si="25"/>
        <v>480.6</v>
      </c>
      <c r="N325" s="1">
        <f t="shared" si="27"/>
        <v>4325.3999999999996</v>
      </c>
      <c r="O325" s="1" t="str">
        <f t="shared" si="28"/>
        <v>January</v>
      </c>
      <c r="P325" s="1">
        <f t="shared" si="29"/>
        <v>2026</v>
      </c>
    </row>
    <row r="326" spans="1:16">
      <c r="A326" s="1">
        <v>1353</v>
      </c>
      <c r="B326" s="2">
        <v>46028</v>
      </c>
      <c r="C326" s="1" t="s">
        <v>21</v>
      </c>
      <c r="D326" s="1" t="s">
        <v>41</v>
      </c>
      <c r="E326" s="1" t="s">
        <v>34</v>
      </c>
      <c r="F326" s="1" t="s">
        <v>19</v>
      </c>
      <c r="G326" s="1">
        <v>6</v>
      </c>
      <c r="H326" s="1">
        <v>15445</v>
      </c>
      <c r="I326" s="5">
        <v>10</v>
      </c>
      <c r="J326" s="1" t="s">
        <v>20</v>
      </c>
      <c r="K326" s="1" t="s">
        <v>21</v>
      </c>
      <c r="L326" s="1">
        <f t="shared" si="26"/>
        <v>92670</v>
      </c>
      <c r="M326" s="1">
        <f t="shared" si="25"/>
        <v>9267</v>
      </c>
      <c r="N326" s="1">
        <f t="shared" si="27"/>
        <v>83403</v>
      </c>
      <c r="O326" s="1" t="str">
        <f t="shared" si="28"/>
        <v>January</v>
      </c>
      <c r="P326" s="1">
        <f t="shared" si="29"/>
        <v>2026</v>
      </c>
    </row>
    <row r="327" spans="1:16">
      <c r="A327" s="1">
        <v>1354</v>
      </c>
      <c r="B327" s="2">
        <v>46037</v>
      </c>
      <c r="C327" s="1" t="s">
        <v>26</v>
      </c>
      <c r="D327" s="1" t="s">
        <v>17</v>
      </c>
      <c r="E327" s="1" t="s">
        <v>23</v>
      </c>
      <c r="F327" s="1" t="s">
        <v>19</v>
      </c>
      <c r="G327" s="1">
        <v>9</v>
      </c>
      <c r="H327" s="1">
        <v>745</v>
      </c>
      <c r="I327" s="5">
        <v>5</v>
      </c>
      <c r="J327" s="1" t="s">
        <v>20</v>
      </c>
      <c r="K327" s="1" t="s">
        <v>29</v>
      </c>
      <c r="L327" s="1">
        <f t="shared" si="26"/>
        <v>6705</v>
      </c>
      <c r="M327" s="1">
        <f t="shared" si="25"/>
        <v>335.25</v>
      </c>
      <c r="N327" s="1">
        <f t="shared" si="27"/>
        <v>6369.75</v>
      </c>
      <c r="O327" s="1" t="str">
        <f t="shared" si="28"/>
        <v>January</v>
      </c>
      <c r="P327" s="1">
        <f t="shared" si="29"/>
        <v>2026</v>
      </c>
    </row>
    <row r="328" spans="1:16">
      <c r="A328" s="1">
        <v>1355</v>
      </c>
      <c r="B328" s="2">
        <v>46060</v>
      </c>
      <c r="C328" s="1" t="s">
        <v>22</v>
      </c>
      <c r="D328" s="1" t="s">
        <v>37</v>
      </c>
      <c r="E328" s="1" t="s">
        <v>44</v>
      </c>
      <c r="F328" s="1" t="s">
        <v>19</v>
      </c>
      <c r="G328" s="1">
        <v>3</v>
      </c>
      <c r="H328" s="1">
        <v>6843</v>
      </c>
      <c r="I328" s="5">
        <v>5</v>
      </c>
      <c r="J328" s="1" t="s">
        <v>20</v>
      </c>
      <c r="K328" s="1" t="s">
        <v>25</v>
      </c>
      <c r="L328" s="1">
        <f t="shared" si="26"/>
        <v>20529</v>
      </c>
      <c r="M328" s="1">
        <f t="shared" si="25"/>
        <v>1026.45</v>
      </c>
      <c r="N328" s="1">
        <f t="shared" si="27"/>
        <v>19502.55</v>
      </c>
      <c r="O328" s="1" t="str">
        <f t="shared" si="28"/>
        <v>February</v>
      </c>
      <c r="P328" s="1">
        <f t="shared" si="29"/>
        <v>2026</v>
      </c>
    </row>
    <row r="329" spans="1:16">
      <c r="A329" s="1">
        <v>1356</v>
      </c>
      <c r="B329" s="2">
        <v>46046</v>
      </c>
      <c r="C329" s="1" t="s">
        <v>16</v>
      </c>
      <c r="D329" s="1" t="s">
        <v>45</v>
      </c>
      <c r="E329" s="1" t="s">
        <v>32</v>
      </c>
      <c r="F329" s="1" t="s">
        <v>28</v>
      </c>
      <c r="G329" s="1">
        <v>3</v>
      </c>
      <c r="H329" s="1">
        <v>1476</v>
      </c>
      <c r="I329" s="5">
        <v>0</v>
      </c>
      <c r="J329" s="1" t="s">
        <v>24</v>
      </c>
      <c r="K329" s="1" t="s">
        <v>29</v>
      </c>
      <c r="L329" s="1">
        <f t="shared" si="26"/>
        <v>4428</v>
      </c>
      <c r="M329" s="1">
        <f t="shared" si="25"/>
        <v>0</v>
      </c>
      <c r="N329" s="1">
        <f t="shared" si="27"/>
        <v>4428</v>
      </c>
      <c r="O329" s="1" t="str">
        <f t="shared" si="28"/>
        <v>January</v>
      </c>
      <c r="P329" s="1">
        <f t="shared" si="29"/>
        <v>2026</v>
      </c>
    </row>
    <row r="330" spans="1:16">
      <c r="A330" s="1">
        <v>1357</v>
      </c>
      <c r="B330" s="2">
        <v>46051</v>
      </c>
      <c r="C330" s="1" t="s">
        <v>33</v>
      </c>
      <c r="D330" s="1" t="s">
        <v>41</v>
      </c>
      <c r="E330" s="1" t="s">
        <v>34</v>
      </c>
      <c r="F330" s="1" t="s">
        <v>19</v>
      </c>
      <c r="G330" s="1">
        <v>3</v>
      </c>
      <c r="H330" s="1">
        <v>15312</v>
      </c>
      <c r="I330" s="5">
        <v>0</v>
      </c>
      <c r="J330" s="1" t="s">
        <v>24</v>
      </c>
      <c r="K330" s="1" t="s">
        <v>29</v>
      </c>
      <c r="L330" s="1">
        <f t="shared" si="26"/>
        <v>45936</v>
      </c>
      <c r="M330" s="1">
        <f t="shared" si="25"/>
        <v>0</v>
      </c>
      <c r="N330" s="1">
        <f t="shared" si="27"/>
        <v>45936</v>
      </c>
      <c r="O330" s="1" t="str">
        <f t="shared" si="28"/>
        <v>January</v>
      </c>
      <c r="P330" s="1">
        <f t="shared" si="29"/>
        <v>2026</v>
      </c>
    </row>
    <row r="331" spans="1:16">
      <c r="A331" s="1">
        <v>1358</v>
      </c>
      <c r="B331" s="2">
        <v>46056</v>
      </c>
      <c r="C331" s="1" t="s">
        <v>21</v>
      </c>
      <c r="D331" s="1" t="s">
        <v>17</v>
      </c>
      <c r="E331" s="1" t="s">
        <v>44</v>
      </c>
      <c r="F331" s="1" t="s">
        <v>19</v>
      </c>
      <c r="G331" s="1">
        <v>2</v>
      </c>
      <c r="H331" s="1">
        <v>7281</v>
      </c>
      <c r="I331" s="5">
        <v>10</v>
      </c>
      <c r="J331" s="1" t="s">
        <v>20</v>
      </c>
      <c r="K331" s="1" t="s">
        <v>21</v>
      </c>
      <c r="L331" s="1">
        <f t="shared" si="26"/>
        <v>14562</v>
      </c>
      <c r="M331" s="1">
        <f t="shared" si="25"/>
        <v>1456.2</v>
      </c>
      <c r="N331" s="1">
        <f t="shared" si="27"/>
        <v>13105.8</v>
      </c>
      <c r="O331" s="1" t="str">
        <f t="shared" si="28"/>
        <v>February</v>
      </c>
      <c r="P331" s="1">
        <f t="shared" si="29"/>
        <v>2026</v>
      </c>
    </row>
    <row r="332" spans="1:16">
      <c r="A332" s="1">
        <v>1359</v>
      </c>
      <c r="B332" s="2">
        <v>46024</v>
      </c>
      <c r="C332" s="1" t="s">
        <v>36</v>
      </c>
      <c r="D332" s="1" t="s">
        <v>41</v>
      </c>
      <c r="E332" s="1" t="s">
        <v>34</v>
      </c>
      <c r="F332" s="1" t="s">
        <v>19</v>
      </c>
      <c r="G332" s="1">
        <v>3</v>
      </c>
      <c r="H332" s="1">
        <v>15062</v>
      </c>
      <c r="I332" s="5">
        <v>0</v>
      </c>
      <c r="J332" s="1" t="s">
        <v>24</v>
      </c>
      <c r="K332" s="1" t="s">
        <v>29</v>
      </c>
      <c r="L332" s="1">
        <f t="shared" si="26"/>
        <v>45186</v>
      </c>
      <c r="M332" s="1">
        <f t="shared" si="25"/>
        <v>0</v>
      </c>
      <c r="N332" s="1">
        <f t="shared" si="27"/>
        <v>45186</v>
      </c>
      <c r="O332" s="1" t="str">
        <f t="shared" si="28"/>
        <v>January</v>
      </c>
      <c r="P332" s="1">
        <f t="shared" si="29"/>
        <v>2026</v>
      </c>
    </row>
    <row r="333" spans="1:16">
      <c r="A333" s="1">
        <v>1360</v>
      </c>
      <c r="B333" s="2">
        <v>46074</v>
      </c>
      <c r="C333" s="1" t="s">
        <v>16</v>
      </c>
      <c r="D333" s="1" t="s">
        <v>31</v>
      </c>
      <c r="E333" s="1" t="s">
        <v>32</v>
      </c>
      <c r="F333" s="1" t="s">
        <v>28</v>
      </c>
      <c r="G333" s="1">
        <v>1</v>
      </c>
      <c r="H333" s="1">
        <v>1281</v>
      </c>
      <c r="I333" s="5">
        <v>5</v>
      </c>
      <c r="J333" s="1" t="s">
        <v>20</v>
      </c>
      <c r="K333" s="1" t="s">
        <v>29</v>
      </c>
      <c r="L333" s="1">
        <f t="shared" si="26"/>
        <v>1281</v>
      </c>
      <c r="M333" s="1">
        <f t="shared" si="25"/>
        <v>64.05</v>
      </c>
      <c r="N333" s="1">
        <f t="shared" si="27"/>
        <v>1216.95</v>
      </c>
      <c r="O333" s="1" t="str">
        <f t="shared" si="28"/>
        <v>February</v>
      </c>
      <c r="P333" s="1">
        <f t="shared" si="29"/>
        <v>2026</v>
      </c>
    </row>
    <row r="334" spans="1:16">
      <c r="A334" s="1">
        <v>1361</v>
      </c>
      <c r="B334" s="2">
        <v>46025</v>
      </c>
      <c r="C334" s="1" t="s">
        <v>22</v>
      </c>
      <c r="D334" s="1" t="s">
        <v>45</v>
      </c>
      <c r="E334" s="1" t="s">
        <v>38</v>
      </c>
      <c r="F334" s="1" t="s">
        <v>28</v>
      </c>
      <c r="G334" s="1">
        <v>3</v>
      </c>
      <c r="H334" s="1">
        <v>3118</v>
      </c>
      <c r="I334" s="5">
        <v>0</v>
      </c>
      <c r="J334" s="1" t="s">
        <v>24</v>
      </c>
      <c r="K334" s="1" t="s">
        <v>29</v>
      </c>
      <c r="L334" s="1">
        <f t="shared" si="26"/>
        <v>9354</v>
      </c>
      <c r="M334" s="1">
        <f t="shared" si="25"/>
        <v>0</v>
      </c>
      <c r="N334" s="1">
        <f t="shared" si="27"/>
        <v>9354</v>
      </c>
      <c r="O334" s="1" t="str">
        <f t="shared" si="28"/>
        <v>January</v>
      </c>
      <c r="P334" s="1">
        <f t="shared" si="29"/>
        <v>2026</v>
      </c>
    </row>
    <row r="335" spans="1:16">
      <c r="A335" s="1">
        <v>1362</v>
      </c>
      <c r="B335" s="2">
        <v>46057</v>
      </c>
      <c r="C335" s="1" t="s">
        <v>26</v>
      </c>
      <c r="D335" s="1" t="s">
        <v>17</v>
      </c>
      <c r="E335" s="1" t="s">
        <v>35</v>
      </c>
      <c r="F335" s="1" t="s">
        <v>19</v>
      </c>
      <c r="G335" s="1">
        <v>7</v>
      </c>
      <c r="H335" s="1">
        <v>9472</v>
      </c>
      <c r="I335" s="5">
        <v>5</v>
      </c>
      <c r="J335" s="1" t="s">
        <v>20</v>
      </c>
      <c r="K335" s="1" t="s">
        <v>21</v>
      </c>
      <c r="L335" s="1">
        <f t="shared" si="26"/>
        <v>66304</v>
      </c>
      <c r="M335" s="1">
        <f t="shared" si="25"/>
        <v>3315.2000000000003</v>
      </c>
      <c r="N335" s="1">
        <f t="shared" si="27"/>
        <v>62988.800000000003</v>
      </c>
      <c r="O335" s="1" t="str">
        <f t="shared" si="28"/>
        <v>February</v>
      </c>
      <c r="P335" s="1">
        <f t="shared" si="29"/>
        <v>2026</v>
      </c>
    </row>
    <row r="336" spans="1:16">
      <c r="A336" s="1">
        <v>1363</v>
      </c>
      <c r="B336" s="2">
        <v>46091</v>
      </c>
      <c r="C336" s="1" t="s">
        <v>33</v>
      </c>
      <c r="D336" s="1" t="s">
        <v>31</v>
      </c>
      <c r="E336" s="1" t="s">
        <v>23</v>
      </c>
      <c r="F336" s="1" t="s">
        <v>19</v>
      </c>
      <c r="G336" s="1">
        <v>9</v>
      </c>
      <c r="H336" s="1">
        <v>630</v>
      </c>
      <c r="I336" s="5">
        <v>15</v>
      </c>
      <c r="J336" s="1" t="s">
        <v>24</v>
      </c>
      <c r="K336" s="1" t="s">
        <v>21</v>
      </c>
      <c r="L336" s="1">
        <f t="shared" si="26"/>
        <v>5670</v>
      </c>
      <c r="M336" s="1">
        <f t="shared" si="25"/>
        <v>850.5</v>
      </c>
      <c r="N336" s="1">
        <f t="shared" si="27"/>
        <v>4819.5</v>
      </c>
      <c r="O336" s="1" t="str">
        <f t="shared" si="28"/>
        <v>March</v>
      </c>
      <c r="P336" s="1">
        <f t="shared" si="29"/>
        <v>2026</v>
      </c>
    </row>
    <row r="337" spans="1:16">
      <c r="A337" s="1">
        <v>1364</v>
      </c>
      <c r="B337" s="2">
        <v>46110</v>
      </c>
      <c r="C337" s="1" t="s">
        <v>40</v>
      </c>
      <c r="D337" s="1" t="s">
        <v>45</v>
      </c>
      <c r="E337" s="1" t="s">
        <v>44</v>
      </c>
      <c r="F337" s="1" t="s">
        <v>19</v>
      </c>
      <c r="G337" s="1">
        <v>9</v>
      </c>
      <c r="H337" s="1">
        <v>6645</v>
      </c>
      <c r="I337" s="5">
        <v>5</v>
      </c>
      <c r="J337" s="1" t="s">
        <v>24</v>
      </c>
      <c r="K337" s="1" t="s">
        <v>25</v>
      </c>
      <c r="L337" s="1">
        <f t="shared" si="26"/>
        <v>59805</v>
      </c>
      <c r="M337" s="1">
        <f t="shared" si="25"/>
        <v>2990.25</v>
      </c>
      <c r="N337" s="1">
        <f t="shared" si="27"/>
        <v>56814.75</v>
      </c>
      <c r="O337" s="1" t="str">
        <f t="shared" si="28"/>
        <v>March</v>
      </c>
      <c r="P337" s="1">
        <f t="shared" si="29"/>
        <v>2026</v>
      </c>
    </row>
    <row r="338" spans="1:16">
      <c r="A338" s="1">
        <v>1365</v>
      </c>
      <c r="B338" s="2">
        <v>46058</v>
      </c>
      <c r="C338" s="1" t="s">
        <v>26</v>
      </c>
      <c r="D338" s="1" t="s">
        <v>31</v>
      </c>
      <c r="E338" s="1" t="s">
        <v>35</v>
      </c>
      <c r="F338" s="1" t="s">
        <v>19</v>
      </c>
      <c r="G338" s="1">
        <v>10</v>
      </c>
      <c r="H338" s="1">
        <v>8920</v>
      </c>
      <c r="I338" s="5">
        <v>10</v>
      </c>
      <c r="J338" s="1" t="s">
        <v>24</v>
      </c>
      <c r="K338" s="1" t="s">
        <v>21</v>
      </c>
      <c r="L338" s="1">
        <f t="shared" si="26"/>
        <v>89200</v>
      </c>
      <c r="M338" s="1">
        <f t="shared" si="25"/>
        <v>8920</v>
      </c>
      <c r="N338" s="1">
        <f t="shared" si="27"/>
        <v>80280</v>
      </c>
      <c r="O338" s="1" t="str">
        <f t="shared" si="28"/>
        <v>February</v>
      </c>
      <c r="P338" s="1">
        <f t="shared" si="29"/>
        <v>2026</v>
      </c>
    </row>
    <row r="339" spans="1:16">
      <c r="A339" s="1">
        <v>1366</v>
      </c>
      <c r="B339" s="2">
        <v>46076</v>
      </c>
      <c r="C339" s="1" t="s">
        <v>26</v>
      </c>
      <c r="D339" s="1" t="s">
        <v>17</v>
      </c>
      <c r="E339" s="1" t="s">
        <v>38</v>
      </c>
      <c r="F339" s="1" t="s">
        <v>28</v>
      </c>
      <c r="G339" s="1">
        <v>10</v>
      </c>
      <c r="H339" s="1">
        <v>3041</v>
      </c>
      <c r="I339" s="5">
        <v>5</v>
      </c>
      <c r="J339" s="1" t="s">
        <v>20</v>
      </c>
      <c r="K339" s="1" t="s">
        <v>29</v>
      </c>
      <c r="L339" s="1">
        <f t="shared" si="26"/>
        <v>30410</v>
      </c>
      <c r="M339" s="1">
        <f t="shared" si="25"/>
        <v>1520.5</v>
      </c>
      <c r="N339" s="1">
        <f t="shared" si="27"/>
        <v>28889.5</v>
      </c>
      <c r="O339" s="1" t="str">
        <f t="shared" si="28"/>
        <v>February</v>
      </c>
      <c r="P339" s="1">
        <f t="shared" si="29"/>
        <v>2026</v>
      </c>
    </row>
    <row r="340" spans="1:16">
      <c r="A340" s="1">
        <v>1368</v>
      </c>
      <c r="B340" s="2">
        <v>46101</v>
      </c>
      <c r="C340" s="1" t="s">
        <v>22</v>
      </c>
      <c r="D340" s="1" t="s">
        <v>17</v>
      </c>
      <c r="E340" s="1" t="s">
        <v>38</v>
      </c>
      <c r="F340" s="1" t="s">
        <v>28</v>
      </c>
      <c r="G340" s="1">
        <v>6</v>
      </c>
      <c r="H340" s="1">
        <v>3095</v>
      </c>
      <c r="I340" s="5">
        <v>5</v>
      </c>
      <c r="J340" s="1" t="s">
        <v>24</v>
      </c>
      <c r="K340" s="1" t="s">
        <v>25</v>
      </c>
      <c r="L340" s="1">
        <f t="shared" si="26"/>
        <v>18570</v>
      </c>
      <c r="M340" s="1">
        <f t="shared" si="25"/>
        <v>928.5</v>
      </c>
      <c r="N340" s="1">
        <f t="shared" si="27"/>
        <v>17641.5</v>
      </c>
      <c r="O340" s="1" t="str">
        <f t="shared" si="28"/>
        <v>March</v>
      </c>
      <c r="P340" s="1">
        <f t="shared" si="29"/>
        <v>2026</v>
      </c>
    </row>
    <row r="341" spans="1:16">
      <c r="A341" s="1">
        <v>1369</v>
      </c>
      <c r="B341" s="2">
        <v>46103</v>
      </c>
      <c r="C341" s="1" t="s">
        <v>26</v>
      </c>
      <c r="D341" s="1" t="s">
        <v>31</v>
      </c>
      <c r="E341" s="1" t="s">
        <v>23</v>
      </c>
      <c r="F341" s="1" t="s">
        <v>19</v>
      </c>
      <c r="G341" s="1">
        <v>4</v>
      </c>
      <c r="H341" s="1">
        <v>1240</v>
      </c>
      <c r="I341" s="5">
        <v>0</v>
      </c>
      <c r="J341" s="1" t="s">
        <v>24</v>
      </c>
      <c r="K341" s="1" t="s">
        <v>21</v>
      </c>
      <c r="L341" s="1">
        <f t="shared" si="26"/>
        <v>4960</v>
      </c>
      <c r="M341" s="1">
        <f t="shared" si="25"/>
        <v>0</v>
      </c>
      <c r="N341" s="1">
        <f t="shared" si="27"/>
        <v>4960</v>
      </c>
      <c r="O341" s="1" t="str">
        <f t="shared" si="28"/>
        <v>March</v>
      </c>
      <c r="P341" s="1">
        <f t="shared" si="29"/>
        <v>2026</v>
      </c>
    </row>
    <row r="342" spans="1:16">
      <c r="A342" s="1">
        <v>1370</v>
      </c>
      <c r="B342" s="2">
        <v>46107</v>
      </c>
      <c r="C342" s="1" t="s">
        <v>22</v>
      </c>
      <c r="D342" s="1" t="s">
        <v>31</v>
      </c>
      <c r="E342" s="1" t="s">
        <v>44</v>
      </c>
      <c r="F342" s="1" t="s">
        <v>19</v>
      </c>
      <c r="G342" s="1">
        <v>2</v>
      </c>
      <c r="H342" s="1">
        <v>7441</v>
      </c>
      <c r="I342" s="5">
        <v>10</v>
      </c>
      <c r="J342" s="1" t="s">
        <v>20</v>
      </c>
      <c r="K342" s="1" t="s">
        <v>21</v>
      </c>
      <c r="L342" s="1">
        <f t="shared" si="26"/>
        <v>14882</v>
      </c>
      <c r="M342" s="1">
        <f t="shared" si="25"/>
        <v>1488.2</v>
      </c>
      <c r="N342" s="1">
        <f t="shared" si="27"/>
        <v>13393.8</v>
      </c>
      <c r="O342" s="1" t="str">
        <f t="shared" si="28"/>
        <v>March</v>
      </c>
      <c r="P342" s="1">
        <f t="shared" si="29"/>
        <v>2026</v>
      </c>
    </row>
    <row r="343" spans="1:16">
      <c r="A343" s="1">
        <v>1371</v>
      </c>
      <c r="B343" s="2">
        <v>46048</v>
      </c>
      <c r="C343" s="1" t="s">
        <v>43</v>
      </c>
      <c r="D343" s="1" t="s">
        <v>37</v>
      </c>
      <c r="E343" s="1" t="s">
        <v>27</v>
      </c>
      <c r="F343" s="1" t="s">
        <v>28</v>
      </c>
      <c r="G343" s="1">
        <v>3</v>
      </c>
      <c r="H343" s="1">
        <v>10463</v>
      </c>
      <c r="I343" s="5">
        <v>0</v>
      </c>
      <c r="J343" s="1" t="s">
        <v>20</v>
      </c>
      <c r="K343" s="1" t="s">
        <v>25</v>
      </c>
      <c r="L343" s="1">
        <f t="shared" si="26"/>
        <v>31389</v>
      </c>
      <c r="M343" s="1">
        <f t="shared" si="25"/>
        <v>0</v>
      </c>
      <c r="N343" s="1">
        <f t="shared" si="27"/>
        <v>31389</v>
      </c>
      <c r="O343" s="1" t="str">
        <f t="shared" si="28"/>
        <v>January</v>
      </c>
      <c r="P343" s="1">
        <f t="shared" si="29"/>
        <v>2026</v>
      </c>
    </row>
    <row r="344" spans="1:16">
      <c r="A344" s="1">
        <v>1372</v>
      </c>
      <c r="B344" s="2">
        <v>46065</v>
      </c>
      <c r="C344" s="1" t="s">
        <v>29</v>
      </c>
      <c r="D344" s="1" t="s">
        <v>37</v>
      </c>
      <c r="E344" s="1" t="s">
        <v>34</v>
      </c>
      <c r="F344" s="1" t="s">
        <v>19</v>
      </c>
      <c r="G344" s="1">
        <v>6</v>
      </c>
      <c r="H344" s="1">
        <v>14526</v>
      </c>
      <c r="I344" s="5">
        <v>5</v>
      </c>
      <c r="J344" s="1" t="s">
        <v>24</v>
      </c>
      <c r="K344" s="1" t="s">
        <v>29</v>
      </c>
      <c r="L344" s="1">
        <f t="shared" si="26"/>
        <v>87156</v>
      </c>
      <c r="M344" s="1">
        <f t="shared" si="25"/>
        <v>4357.8</v>
      </c>
      <c r="N344" s="1">
        <f t="shared" si="27"/>
        <v>82798.2</v>
      </c>
      <c r="O344" s="1" t="str">
        <f t="shared" si="28"/>
        <v>February</v>
      </c>
      <c r="P344" s="1">
        <f t="shared" si="29"/>
        <v>2026</v>
      </c>
    </row>
    <row r="345" spans="1:16">
      <c r="A345" s="1">
        <v>1373</v>
      </c>
      <c r="B345" s="2">
        <v>46047</v>
      </c>
      <c r="C345" s="1" t="s">
        <v>26</v>
      </c>
      <c r="D345" s="1" t="s">
        <v>37</v>
      </c>
      <c r="E345" s="1" t="s">
        <v>34</v>
      </c>
      <c r="F345" s="1" t="s">
        <v>19</v>
      </c>
      <c r="G345" s="1">
        <v>1</v>
      </c>
      <c r="H345" s="1">
        <v>14899</v>
      </c>
      <c r="I345" s="5">
        <v>5</v>
      </c>
      <c r="J345" s="1" t="s">
        <v>20</v>
      </c>
      <c r="K345" s="1" t="s">
        <v>21</v>
      </c>
      <c r="L345" s="1">
        <f t="shared" si="26"/>
        <v>14899</v>
      </c>
      <c r="M345" s="1">
        <f t="shared" si="25"/>
        <v>744.95</v>
      </c>
      <c r="N345" s="1">
        <f t="shared" si="27"/>
        <v>14154.05</v>
      </c>
      <c r="O345" s="1" t="str">
        <f t="shared" si="28"/>
        <v>January</v>
      </c>
      <c r="P345" s="1">
        <f t="shared" si="29"/>
        <v>2026</v>
      </c>
    </row>
    <row r="346" spans="1:16">
      <c r="A346" s="1">
        <v>1374</v>
      </c>
      <c r="B346" s="2">
        <v>46051</v>
      </c>
      <c r="C346" s="1" t="s">
        <v>36</v>
      </c>
      <c r="D346" s="1" t="s">
        <v>37</v>
      </c>
      <c r="E346" s="1" t="s">
        <v>32</v>
      </c>
      <c r="F346" s="1" t="s">
        <v>28</v>
      </c>
      <c r="G346" s="1">
        <v>10</v>
      </c>
      <c r="H346" s="1">
        <v>867</v>
      </c>
      <c r="I346" s="5">
        <v>0</v>
      </c>
      <c r="J346" s="1" t="s">
        <v>20</v>
      </c>
      <c r="K346" s="1" t="s">
        <v>21</v>
      </c>
      <c r="L346" s="1">
        <f t="shared" si="26"/>
        <v>8670</v>
      </c>
      <c r="M346" s="1">
        <f t="shared" si="25"/>
        <v>0</v>
      </c>
      <c r="N346" s="1">
        <f t="shared" si="27"/>
        <v>8670</v>
      </c>
      <c r="O346" s="1" t="str">
        <f t="shared" si="28"/>
        <v>January</v>
      </c>
      <c r="P346" s="1">
        <f t="shared" si="29"/>
        <v>2026</v>
      </c>
    </row>
    <row r="347" spans="1:16">
      <c r="A347" s="1">
        <v>1376</v>
      </c>
      <c r="B347" s="2">
        <v>46109</v>
      </c>
      <c r="C347" s="1" t="s">
        <v>39</v>
      </c>
      <c r="D347" s="1" t="s">
        <v>17</v>
      </c>
      <c r="E347" s="1" t="s">
        <v>35</v>
      </c>
      <c r="F347" s="1" t="s">
        <v>19</v>
      </c>
      <c r="G347" s="1">
        <v>9</v>
      </c>
      <c r="H347" s="1">
        <v>8501</v>
      </c>
      <c r="I347" s="5">
        <v>10</v>
      </c>
      <c r="J347" s="1" t="s">
        <v>24</v>
      </c>
      <c r="K347" s="1" t="s">
        <v>29</v>
      </c>
      <c r="L347" s="1">
        <f t="shared" si="26"/>
        <v>76509</v>
      </c>
      <c r="M347" s="1">
        <f t="shared" si="25"/>
        <v>7650.9000000000005</v>
      </c>
      <c r="N347" s="1">
        <f t="shared" si="27"/>
        <v>68858.100000000006</v>
      </c>
      <c r="O347" s="1" t="str">
        <f t="shared" si="28"/>
        <v>March</v>
      </c>
      <c r="P347" s="1">
        <f t="shared" si="29"/>
        <v>2026</v>
      </c>
    </row>
    <row r="348" spans="1:16">
      <c r="A348" s="1">
        <v>1377</v>
      </c>
      <c r="B348" s="2">
        <v>46039</v>
      </c>
      <c r="C348" s="1" t="s">
        <v>22</v>
      </c>
      <c r="D348" s="1" t="s">
        <v>31</v>
      </c>
      <c r="E348" s="1" t="s">
        <v>44</v>
      </c>
      <c r="F348" s="1" t="s">
        <v>19</v>
      </c>
      <c r="G348" s="1">
        <v>3</v>
      </c>
      <c r="H348" s="1">
        <v>7335</v>
      </c>
      <c r="I348" s="5">
        <v>0</v>
      </c>
      <c r="J348" s="1" t="s">
        <v>24</v>
      </c>
      <c r="K348" s="1" t="s">
        <v>29</v>
      </c>
      <c r="L348" s="1">
        <f t="shared" si="26"/>
        <v>22005</v>
      </c>
      <c r="M348" s="1">
        <f t="shared" si="25"/>
        <v>0</v>
      </c>
      <c r="N348" s="1">
        <f t="shared" si="27"/>
        <v>22005</v>
      </c>
      <c r="O348" s="1" t="str">
        <f t="shared" si="28"/>
        <v>January</v>
      </c>
      <c r="P348" s="1">
        <f t="shared" si="29"/>
        <v>2026</v>
      </c>
    </row>
    <row r="349" spans="1:16">
      <c r="A349" s="1">
        <v>1378</v>
      </c>
      <c r="B349" s="2">
        <v>46099</v>
      </c>
      <c r="C349" s="1" t="s">
        <v>40</v>
      </c>
      <c r="D349" s="1" t="s">
        <v>45</v>
      </c>
      <c r="E349" s="1" t="s">
        <v>38</v>
      </c>
      <c r="F349" s="1" t="s">
        <v>28</v>
      </c>
      <c r="G349" s="1">
        <v>10</v>
      </c>
      <c r="H349" s="1">
        <v>3346</v>
      </c>
      <c r="I349" s="5">
        <v>5</v>
      </c>
      <c r="J349" s="1" t="s">
        <v>24</v>
      </c>
      <c r="K349" s="1" t="s">
        <v>29</v>
      </c>
      <c r="L349" s="1">
        <f t="shared" si="26"/>
        <v>33460</v>
      </c>
      <c r="M349" s="1">
        <f t="shared" si="25"/>
        <v>1673</v>
      </c>
      <c r="N349" s="1">
        <f t="shared" si="27"/>
        <v>31787</v>
      </c>
      <c r="O349" s="1" t="str">
        <f t="shared" si="28"/>
        <v>March</v>
      </c>
      <c r="P349" s="1">
        <f t="shared" si="29"/>
        <v>2026</v>
      </c>
    </row>
    <row r="350" spans="1:16">
      <c r="A350" s="1">
        <v>1379</v>
      </c>
      <c r="B350" s="2">
        <v>46107</v>
      </c>
      <c r="C350" s="1" t="s">
        <v>29</v>
      </c>
      <c r="D350" s="1" t="s">
        <v>17</v>
      </c>
      <c r="E350" s="1" t="s">
        <v>18</v>
      </c>
      <c r="F350" s="1" t="s">
        <v>19</v>
      </c>
      <c r="G350" s="1">
        <v>6</v>
      </c>
      <c r="H350" s="1">
        <v>53</v>
      </c>
      <c r="I350" s="5">
        <v>10</v>
      </c>
      <c r="J350" s="1" t="s">
        <v>20</v>
      </c>
      <c r="K350" s="1" t="s">
        <v>29</v>
      </c>
      <c r="L350" s="1">
        <f t="shared" si="26"/>
        <v>318</v>
      </c>
      <c r="M350" s="1">
        <f t="shared" si="25"/>
        <v>31.8</v>
      </c>
      <c r="N350" s="1">
        <f t="shared" si="27"/>
        <v>286.2</v>
      </c>
      <c r="O350" s="1" t="str">
        <f t="shared" si="28"/>
        <v>March</v>
      </c>
      <c r="P350" s="1">
        <f t="shared" si="29"/>
        <v>2026</v>
      </c>
    </row>
    <row r="351" spans="1:16">
      <c r="A351" s="1">
        <v>1380</v>
      </c>
      <c r="B351" s="2">
        <v>46064</v>
      </c>
      <c r="C351" s="1" t="s">
        <v>43</v>
      </c>
      <c r="D351" s="1" t="s">
        <v>31</v>
      </c>
      <c r="E351" s="1" t="s">
        <v>18</v>
      </c>
      <c r="F351" s="1" t="s">
        <v>19</v>
      </c>
      <c r="G351" s="1">
        <v>1</v>
      </c>
      <c r="H351" s="1">
        <v>99</v>
      </c>
      <c r="I351" s="5">
        <v>15</v>
      </c>
      <c r="J351" s="1" t="s">
        <v>20</v>
      </c>
      <c r="K351" s="1" t="s">
        <v>25</v>
      </c>
      <c r="L351" s="1">
        <f t="shared" si="26"/>
        <v>99</v>
      </c>
      <c r="M351" s="1">
        <f t="shared" si="25"/>
        <v>14.85</v>
      </c>
      <c r="N351" s="1">
        <f t="shared" si="27"/>
        <v>84.15</v>
      </c>
      <c r="O351" s="1" t="str">
        <f t="shared" si="28"/>
        <v>February</v>
      </c>
      <c r="P351" s="1">
        <f t="shared" si="29"/>
        <v>2026</v>
      </c>
    </row>
    <row r="352" spans="1:16">
      <c r="A352" s="1">
        <v>1381</v>
      </c>
      <c r="B352" s="2">
        <v>46083</v>
      </c>
      <c r="C352" s="1" t="s">
        <v>30</v>
      </c>
      <c r="D352" s="1" t="s">
        <v>31</v>
      </c>
      <c r="E352" s="1" t="s">
        <v>18</v>
      </c>
      <c r="F352" s="1" t="s">
        <v>19</v>
      </c>
      <c r="G352" s="1">
        <v>6</v>
      </c>
      <c r="H352" s="1">
        <v>96</v>
      </c>
      <c r="I352" s="5">
        <v>15</v>
      </c>
      <c r="J352" s="1" t="s">
        <v>20</v>
      </c>
      <c r="K352" s="1" t="s">
        <v>21</v>
      </c>
      <c r="L352" s="1">
        <f t="shared" si="26"/>
        <v>576</v>
      </c>
      <c r="M352" s="1">
        <f t="shared" si="25"/>
        <v>86.399999999999991</v>
      </c>
      <c r="N352" s="1">
        <f t="shared" si="27"/>
        <v>489.6</v>
      </c>
      <c r="O352" s="1" t="str">
        <f t="shared" si="28"/>
        <v>March</v>
      </c>
      <c r="P352" s="1">
        <f t="shared" si="29"/>
        <v>2026</v>
      </c>
    </row>
    <row r="353" spans="1:16">
      <c r="A353" s="1">
        <v>1382</v>
      </c>
      <c r="B353" s="2">
        <v>46068</v>
      </c>
      <c r="C353" s="1" t="s">
        <v>42</v>
      </c>
      <c r="D353" s="1" t="s">
        <v>45</v>
      </c>
      <c r="E353" s="1" t="s">
        <v>18</v>
      </c>
      <c r="F353" s="1" t="s">
        <v>19</v>
      </c>
      <c r="G353" s="1">
        <v>2</v>
      </c>
      <c r="H353" s="1">
        <v>493</v>
      </c>
      <c r="I353" s="5">
        <v>10</v>
      </c>
      <c r="J353" s="1" t="s">
        <v>20</v>
      </c>
      <c r="K353" s="1" t="s">
        <v>25</v>
      </c>
      <c r="L353" s="1">
        <f t="shared" si="26"/>
        <v>986</v>
      </c>
      <c r="M353" s="1">
        <f t="shared" si="25"/>
        <v>98.600000000000009</v>
      </c>
      <c r="N353" s="1">
        <f t="shared" si="27"/>
        <v>887.4</v>
      </c>
      <c r="O353" s="1" t="str">
        <f t="shared" si="28"/>
        <v>February</v>
      </c>
      <c r="P353" s="1">
        <f t="shared" si="29"/>
        <v>2026</v>
      </c>
    </row>
    <row r="354" spans="1:16">
      <c r="A354" s="1">
        <v>1383</v>
      </c>
      <c r="B354" s="2">
        <v>46085</v>
      </c>
      <c r="C354" s="1" t="s">
        <v>16</v>
      </c>
      <c r="D354" s="1" t="s">
        <v>31</v>
      </c>
      <c r="E354" s="1" t="s">
        <v>44</v>
      </c>
      <c r="F354" s="1" t="s">
        <v>19</v>
      </c>
      <c r="G354" s="1">
        <v>10</v>
      </c>
      <c r="H354" s="1">
        <v>7228</v>
      </c>
      <c r="I354" s="5">
        <v>15</v>
      </c>
      <c r="J354" s="1" t="s">
        <v>20</v>
      </c>
      <c r="K354" s="1" t="s">
        <v>29</v>
      </c>
      <c r="L354" s="1">
        <f t="shared" si="26"/>
        <v>72280</v>
      </c>
      <c r="M354" s="1">
        <f t="shared" si="25"/>
        <v>10842</v>
      </c>
      <c r="N354" s="1">
        <f t="shared" si="27"/>
        <v>61438</v>
      </c>
      <c r="O354" s="1" t="str">
        <f t="shared" si="28"/>
        <v>March</v>
      </c>
      <c r="P354" s="1">
        <f t="shared" si="29"/>
        <v>2026</v>
      </c>
    </row>
    <row r="355" spans="1:16">
      <c r="A355" s="1">
        <v>1385</v>
      </c>
      <c r="B355" s="2">
        <v>46033</v>
      </c>
      <c r="C355" s="1" t="s">
        <v>21</v>
      </c>
      <c r="D355" s="1" t="s">
        <v>31</v>
      </c>
      <c r="E355" s="1" t="s">
        <v>34</v>
      </c>
      <c r="F355" s="1" t="s">
        <v>19</v>
      </c>
      <c r="G355" s="1">
        <v>5</v>
      </c>
      <c r="H355" s="1">
        <v>14707</v>
      </c>
      <c r="I355" s="5">
        <v>10</v>
      </c>
      <c r="J355" s="1" t="s">
        <v>24</v>
      </c>
      <c r="K355" s="1" t="s">
        <v>21</v>
      </c>
      <c r="L355" s="1">
        <f t="shared" si="26"/>
        <v>73535</v>
      </c>
      <c r="M355" s="1">
        <f t="shared" si="25"/>
        <v>7353.5</v>
      </c>
      <c r="N355" s="1">
        <f t="shared" si="27"/>
        <v>66181.5</v>
      </c>
      <c r="O355" s="1" t="str">
        <f t="shared" si="28"/>
        <v>January</v>
      </c>
      <c r="P355" s="1">
        <f t="shared" si="29"/>
        <v>2026</v>
      </c>
    </row>
    <row r="356" spans="1:16">
      <c r="A356" s="1">
        <v>1386</v>
      </c>
      <c r="B356" s="2">
        <v>46074</v>
      </c>
      <c r="C356" s="1" t="s">
        <v>30</v>
      </c>
      <c r="D356" s="1" t="s">
        <v>41</v>
      </c>
      <c r="E356" s="1" t="s">
        <v>23</v>
      </c>
      <c r="F356" s="1" t="s">
        <v>19</v>
      </c>
      <c r="G356" s="1">
        <v>6</v>
      </c>
      <c r="H356" s="1">
        <v>1129</v>
      </c>
      <c r="I356" s="5">
        <v>10</v>
      </c>
      <c r="J356" s="1" t="s">
        <v>20</v>
      </c>
      <c r="K356" s="1" t="s">
        <v>29</v>
      </c>
      <c r="L356" s="1">
        <f t="shared" si="26"/>
        <v>6774</v>
      </c>
      <c r="M356" s="1">
        <f t="shared" si="25"/>
        <v>677.40000000000009</v>
      </c>
      <c r="N356" s="1">
        <f t="shared" si="27"/>
        <v>6096.6</v>
      </c>
      <c r="O356" s="1" t="str">
        <f t="shared" si="28"/>
        <v>February</v>
      </c>
      <c r="P356" s="1">
        <f t="shared" si="29"/>
        <v>2026</v>
      </c>
    </row>
    <row r="357" spans="1:16">
      <c r="A357" s="1">
        <v>1387</v>
      </c>
      <c r="B357" s="2">
        <v>46062</v>
      </c>
      <c r="C357" s="1" t="s">
        <v>42</v>
      </c>
      <c r="D357" s="1" t="s">
        <v>45</v>
      </c>
      <c r="E357" s="1" t="s">
        <v>23</v>
      </c>
      <c r="F357" s="1" t="s">
        <v>19</v>
      </c>
      <c r="G357" s="1">
        <v>1</v>
      </c>
      <c r="H357" s="1">
        <v>997</v>
      </c>
      <c r="I357" s="5">
        <v>5</v>
      </c>
      <c r="J357" s="1" t="s">
        <v>20</v>
      </c>
      <c r="K357" s="1" t="s">
        <v>21</v>
      </c>
      <c r="L357" s="1">
        <f t="shared" si="26"/>
        <v>997</v>
      </c>
      <c r="M357" s="1">
        <f t="shared" si="25"/>
        <v>49.85</v>
      </c>
      <c r="N357" s="1">
        <f t="shared" si="27"/>
        <v>947.15</v>
      </c>
      <c r="O357" s="1" t="str">
        <f t="shared" si="28"/>
        <v>February</v>
      </c>
      <c r="P357" s="1">
        <f t="shared" si="29"/>
        <v>2026</v>
      </c>
    </row>
    <row r="358" spans="1:16">
      <c r="A358" s="1">
        <v>1388</v>
      </c>
      <c r="B358" s="2">
        <v>46100</v>
      </c>
      <c r="C358" s="1" t="s">
        <v>40</v>
      </c>
      <c r="D358" s="1" t="s">
        <v>31</v>
      </c>
      <c r="E358" s="1" t="s">
        <v>44</v>
      </c>
      <c r="F358" s="1" t="s">
        <v>19</v>
      </c>
      <c r="G358" s="1">
        <v>9</v>
      </c>
      <c r="H358" s="1">
        <v>6717</v>
      </c>
      <c r="I358" s="5">
        <v>15</v>
      </c>
      <c r="J358" s="1" t="s">
        <v>20</v>
      </c>
      <c r="K358" s="1" t="s">
        <v>21</v>
      </c>
      <c r="L358" s="1">
        <f t="shared" si="26"/>
        <v>60453</v>
      </c>
      <c r="M358" s="1">
        <f t="shared" si="25"/>
        <v>9067.9499999999989</v>
      </c>
      <c r="N358" s="1">
        <f t="shared" si="27"/>
        <v>51385.05</v>
      </c>
      <c r="O358" s="1" t="str">
        <f t="shared" si="28"/>
        <v>March</v>
      </c>
      <c r="P358" s="1">
        <f t="shared" si="29"/>
        <v>2026</v>
      </c>
    </row>
    <row r="359" spans="1:16">
      <c r="A359" s="1">
        <v>1389</v>
      </c>
      <c r="B359" s="2">
        <v>46088</v>
      </c>
      <c r="C359" s="1" t="s">
        <v>40</v>
      </c>
      <c r="D359" s="1" t="s">
        <v>37</v>
      </c>
      <c r="E359" s="1" t="s">
        <v>38</v>
      </c>
      <c r="F359" s="1" t="s">
        <v>28</v>
      </c>
      <c r="G359" s="1">
        <v>4</v>
      </c>
      <c r="H359" s="1">
        <v>3461</v>
      </c>
      <c r="I359" s="5">
        <v>15</v>
      </c>
      <c r="J359" s="1" t="s">
        <v>20</v>
      </c>
      <c r="K359" s="1" t="s">
        <v>25</v>
      </c>
      <c r="L359" s="1">
        <f t="shared" si="26"/>
        <v>13844</v>
      </c>
      <c r="M359" s="1">
        <f t="shared" si="25"/>
        <v>2076.6</v>
      </c>
      <c r="N359" s="1">
        <f t="shared" si="27"/>
        <v>11767.4</v>
      </c>
      <c r="O359" s="1" t="str">
        <f t="shared" si="28"/>
        <v>March</v>
      </c>
      <c r="P359" s="1">
        <f t="shared" si="29"/>
        <v>2026</v>
      </c>
    </row>
    <row r="360" spans="1:16">
      <c r="A360" s="1">
        <v>1390</v>
      </c>
      <c r="B360" s="2">
        <v>46086</v>
      </c>
      <c r="C360" s="1" t="s">
        <v>30</v>
      </c>
      <c r="D360" s="1" t="s">
        <v>31</v>
      </c>
      <c r="E360" s="1" t="s">
        <v>27</v>
      </c>
      <c r="F360" s="1" t="s">
        <v>28</v>
      </c>
      <c r="G360" s="1">
        <v>6</v>
      </c>
      <c r="H360" s="1">
        <v>9828</v>
      </c>
      <c r="I360" s="5">
        <v>15</v>
      </c>
      <c r="J360" s="1" t="s">
        <v>20</v>
      </c>
      <c r="K360" s="1" t="s">
        <v>25</v>
      </c>
      <c r="L360" s="1">
        <f t="shared" si="26"/>
        <v>58968</v>
      </c>
      <c r="M360" s="1">
        <f t="shared" si="25"/>
        <v>8845.1999999999989</v>
      </c>
      <c r="N360" s="1">
        <f t="shared" si="27"/>
        <v>50122.8</v>
      </c>
      <c r="O360" s="1" t="str">
        <f t="shared" si="28"/>
        <v>March</v>
      </c>
      <c r="P360" s="1">
        <f t="shared" si="29"/>
        <v>2026</v>
      </c>
    </row>
    <row r="361" spans="1:16">
      <c r="A361" s="1">
        <v>1391</v>
      </c>
      <c r="B361" s="2">
        <v>46068</v>
      </c>
      <c r="C361" s="1" t="s">
        <v>36</v>
      </c>
      <c r="D361" s="1" t="s">
        <v>31</v>
      </c>
      <c r="E361" s="1" t="s">
        <v>34</v>
      </c>
      <c r="F361" s="1" t="s">
        <v>19</v>
      </c>
      <c r="G361" s="1">
        <v>6</v>
      </c>
      <c r="H361" s="1">
        <v>14690</v>
      </c>
      <c r="I361" s="5">
        <v>5</v>
      </c>
      <c r="J361" s="1" t="s">
        <v>24</v>
      </c>
      <c r="K361" s="1" t="s">
        <v>21</v>
      </c>
      <c r="L361" s="1">
        <f t="shared" si="26"/>
        <v>88140</v>
      </c>
      <c r="M361" s="1">
        <f t="shared" si="25"/>
        <v>4407</v>
      </c>
      <c r="N361" s="1">
        <f t="shared" si="27"/>
        <v>83733</v>
      </c>
      <c r="O361" s="1" t="str">
        <f t="shared" si="28"/>
        <v>February</v>
      </c>
      <c r="P361" s="1">
        <f t="shared" si="29"/>
        <v>2026</v>
      </c>
    </row>
    <row r="362" spans="1:16">
      <c r="A362" s="1">
        <v>1392</v>
      </c>
      <c r="B362" s="2">
        <v>46095</v>
      </c>
      <c r="C362" s="1" t="s">
        <v>39</v>
      </c>
      <c r="D362" s="1" t="s">
        <v>41</v>
      </c>
      <c r="E362" s="1" t="s">
        <v>23</v>
      </c>
      <c r="F362" s="1" t="s">
        <v>19</v>
      </c>
      <c r="G362" s="1">
        <v>10</v>
      </c>
      <c r="H362" s="1">
        <v>1133</v>
      </c>
      <c r="I362" s="5">
        <v>10</v>
      </c>
      <c r="J362" s="1" t="s">
        <v>24</v>
      </c>
      <c r="K362" s="1" t="s">
        <v>21</v>
      </c>
      <c r="L362" s="1">
        <f t="shared" si="26"/>
        <v>11330</v>
      </c>
      <c r="M362" s="1">
        <f t="shared" si="25"/>
        <v>1133</v>
      </c>
      <c r="N362" s="1">
        <f t="shared" si="27"/>
        <v>10197</v>
      </c>
      <c r="O362" s="1" t="str">
        <f t="shared" si="28"/>
        <v>March</v>
      </c>
      <c r="P362" s="1">
        <f t="shared" si="29"/>
        <v>2026</v>
      </c>
    </row>
    <row r="363" spans="1:16">
      <c r="A363" s="1">
        <v>1393</v>
      </c>
      <c r="B363" s="2">
        <v>46086</v>
      </c>
      <c r="C363" s="1" t="s">
        <v>16</v>
      </c>
      <c r="D363" s="1" t="s">
        <v>37</v>
      </c>
      <c r="E363" s="1" t="s">
        <v>32</v>
      </c>
      <c r="F363" s="1" t="s">
        <v>28</v>
      </c>
      <c r="G363" s="1">
        <v>9</v>
      </c>
      <c r="H363" s="1">
        <v>888</v>
      </c>
      <c r="I363" s="5">
        <v>15</v>
      </c>
      <c r="J363" s="1" t="s">
        <v>24</v>
      </c>
      <c r="K363" s="1" t="s">
        <v>25</v>
      </c>
      <c r="L363" s="1">
        <f t="shared" si="26"/>
        <v>7992</v>
      </c>
      <c r="M363" s="1">
        <f t="shared" si="25"/>
        <v>1198.8</v>
      </c>
      <c r="N363" s="1">
        <f t="shared" si="27"/>
        <v>6793.2</v>
      </c>
      <c r="O363" s="1" t="str">
        <f t="shared" si="28"/>
        <v>March</v>
      </c>
      <c r="P363" s="1">
        <f t="shared" si="29"/>
        <v>2026</v>
      </c>
    </row>
    <row r="364" spans="1:16">
      <c r="A364" s="1">
        <v>1394</v>
      </c>
      <c r="B364" s="2">
        <v>46076</v>
      </c>
      <c r="C364" s="1" t="s">
        <v>40</v>
      </c>
      <c r="D364" s="1" t="s">
        <v>17</v>
      </c>
      <c r="E364" s="1" t="s">
        <v>32</v>
      </c>
      <c r="F364" s="1" t="s">
        <v>28</v>
      </c>
      <c r="G364" s="1">
        <v>5</v>
      </c>
      <c r="H364" s="1">
        <v>897</v>
      </c>
      <c r="I364" s="5">
        <v>5</v>
      </c>
      <c r="J364" s="1" t="s">
        <v>20</v>
      </c>
      <c r="K364" s="1" t="s">
        <v>25</v>
      </c>
      <c r="L364" s="1">
        <f t="shared" si="26"/>
        <v>4485</v>
      </c>
      <c r="M364" s="1">
        <f t="shared" si="25"/>
        <v>224.25</v>
      </c>
      <c r="N364" s="1">
        <f t="shared" si="27"/>
        <v>4260.75</v>
      </c>
      <c r="O364" s="1" t="str">
        <f t="shared" si="28"/>
        <v>February</v>
      </c>
      <c r="P364" s="1">
        <f t="shared" si="29"/>
        <v>2026</v>
      </c>
    </row>
    <row r="365" spans="1:16">
      <c r="A365" s="1">
        <v>1395</v>
      </c>
      <c r="B365" s="2">
        <v>46073</v>
      </c>
      <c r="C365" s="1" t="s">
        <v>22</v>
      </c>
      <c r="D365" s="1" t="s">
        <v>45</v>
      </c>
      <c r="E365" s="1" t="s">
        <v>32</v>
      </c>
      <c r="F365" s="1" t="s">
        <v>28</v>
      </c>
      <c r="G365" s="1">
        <v>10</v>
      </c>
      <c r="H365" s="1">
        <v>1097</v>
      </c>
      <c r="I365" s="5">
        <v>15</v>
      </c>
      <c r="J365" s="1" t="s">
        <v>20</v>
      </c>
      <c r="K365" s="1" t="s">
        <v>21</v>
      </c>
      <c r="L365" s="1">
        <f t="shared" si="26"/>
        <v>10970</v>
      </c>
      <c r="M365" s="1">
        <f t="shared" si="25"/>
        <v>1645.5</v>
      </c>
      <c r="N365" s="1">
        <f t="shared" si="27"/>
        <v>9324.5</v>
      </c>
      <c r="O365" s="1" t="str">
        <f t="shared" si="28"/>
        <v>February</v>
      </c>
      <c r="P365" s="1">
        <f t="shared" si="29"/>
        <v>2026</v>
      </c>
    </row>
    <row r="366" spans="1:16">
      <c r="A366" s="1">
        <v>1396</v>
      </c>
      <c r="B366" s="2">
        <v>46034</v>
      </c>
      <c r="C366" s="1" t="s">
        <v>36</v>
      </c>
      <c r="D366" s="1" t="s">
        <v>41</v>
      </c>
      <c r="E366" s="1" t="s">
        <v>23</v>
      </c>
      <c r="F366" s="1" t="s">
        <v>19</v>
      </c>
      <c r="G366" s="1">
        <v>4</v>
      </c>
      <c r="H366" s="1">
        <v>1391</v>
      </c>
      <c r="I366" s="5">
        <v>0</v>
      </c>
      <c r="J366" s="1" t="s">
        <v>24</v>
      </c>
      <c r="K366" s="1" t="s">
        <v>29</v>
      </c>
      <c r="L366" s="1">
        <f t="shared" si="26"/>
        <v>5564</v>
      </c>
      <c r="M366" s="1">
        <f t="shared" si="25"/>
        <v>0</v>
      </c>
      <c r="N366" s="1">
        <f t="shared" si="27"/>
        <v>5564</v>
      </c>
      <c r="O366" s="1" t="str">
        <f t="shared" si="28"/>
        <v>January</v>
      </c>
      <c r="P366" s="1">
        <f t="shared" si="29"/>
        <v>2026</v>
      </c>
    </row>
    <row r="367" spans="1:16">
      <c r="A367" s="1">
        <v>1397</v>
      </c>
      <c r="B367" s="2">
        <v>46060</v>
      </c>
      <c r="C367" s="1" t="s">
        <v>29</v>
      </c>
      <c r="D367" s="1" t="s">
        <v>41</v>
      </c>
      <c r="E367" s="1" t="s">
        <v>32</v>
      </c>
      <c r="F367" s="1" t="s">
        <v>28</v>
      </c>
      <c r="G367" s="1">
        <v>7</v>
      </c>
      <c r="H367" s="1">
        <v>780</v>
      </c>
      <c r="I367" s="5">
        <v>10</v>
      </c>
      <c r="J367" s="1" t="s">
        <v>24</v>
      </c>
      <c r="K367" s="1" t="s">
        <v>21</v>
      </c>
      <c r="L367" s="1">
        <f t="shared" si="26"/>
        <v>5460</v>
      </c>
      <c r="M367" s="1">
        <f t="shared" si="25"/>
        <v>546</v>
      </c>
      <c r="N367" s="1">
        <f t="shared" si="27"/>
        <v>4914</v>
      </c>
      <c r="O367" s="1" t="str">
        <f t="shared" si="28"/>
        <v>February</v>
      </c>
      <c r="P367" s="1">
        <f t="shared" si="29"/>
        <v>2026</v>
      </c>
    </row>
    <row r="368" spans="1:16">
      <c r="A368" s="1">
        <v>1398</v>
      </c>
      <c r="B368" s="2">
        <v>46027</v>
      </c>
      <c r="C368" s="1" t="s">
        <v>26</v>
      </c>
      <c r="D368" s="1" t="s">
        <v>31</v>
      </c>
      <c r="E368" s="1" t="s">
        <v>32</v>
      </c>
      <c r="F368" s="1" t="s">
        <v>28</v>
      </c>
      <c r="G368" s="1">
        <v>6</v>
      </c>
      <c r="H368" s="1">
        <v>1185</v>
      </c>
      <c r="I368" s="5">
        <v>15</v>
      </c>
      <c r="J368" s="1" t="s">
        <v>24</v>
      </c>
      <c r="K368" s="1" t="s">
        <v>29</v>
      </c>
      <c r="L368" s="1">
        <f t="shared" si="26"/>
        <v>7110</v>
      </c>
      <c r="M368" s="1">
        <f t="shared" si="25"/>
        <v>1066.5</v>
      </c>
      <c r="N368" s="1">
        <f t="shared" si="27"/>
        <v>6043.5</v>
      </c>
      <c r="O368" s="1" t="str">
        <f t="shared" si="28"/>
        <v>January</v>
      </c>
      <c r="P368" s="1">
        <f t="shared" si="29"/>
        <v>2026</v>
      </c>
    </row>
    <row r="369" spans="1:16">
      <c r="A369" s="1">
        <v>1399</v>
      </c>
      <c r="B369" s="2">
        <v>46029</v>
      </c>
      <c r="C369" s="1" t="s">
        <v>43</v>
      </c>
      <c r="D369" s="1" t="s">
        <v>37</v>
      </c>
      <c r="E369" s="1" t="s">
        <v>38</v>
      </c>
      <c r="F369" s="1" t="s">
        <v>28</v>
      </c>
      <c r="G369" s="1">
        <v>3</v>
      </c>
      <c r="H369" s="1">
        <v>3875</v>
      </c>
      <c r="I369" s="5">
        <v>0</v>
      </c>
      <c r="J369" s="1" t="s">
        <v>24</v>
      </c>
      <c r="K369" s="1" t="s">
        <v>29</v>
      </c>
      <c r="L369" s="1">
        <f t="shared" si="26"/>
        <v>11625</v>
      </c>
      <c r="M369" s="1">
        <f t="shared" si="25"/>
        <v>0</v>
      </c>
      <c r="N369" s="1">
        <f t="shared" si="27"/>
        <v>11625</v>
      </c>
      <c r="O369" s="1" t="str">
        <f t="shared" si="28"/>
        <v>January</v>
      </c>
      <c r="P369" s="1">
        <f t="shared" si="29"/>
        <v>2026</v>
      </c>
    </row>
    <row r="370" spans="1:16">
      <c r="A370" s="1">
        <v>1400</v>
      </c>
      <c r="B370" s="2">
        <v>46031</v>
      </c>
      <c r="C370" s="1" t="s">
        <v>26</v>
      </c>
      <c r="D370" s="1" t="s">
        <v>17</v>
      </c>
      <c r="E370" s="1" t="s">
        <v>44</v>
      </c>
      <c r="F370" s="1" t="s">
        <v>19</v>
      </c>
      <c r="G370" s="1">
        <v>9</v>
      </c>
      <c r="H370" s="1">
        <v>7104</v>
      </c>
      <c r="I370" s="5">
        <v>5</v>
      </c>
      <c r="J370" s="1" t="s">
        <v>20</v>
      </c>
      <c r="K370" s="1" t="s">
        <v>29</v>
      </c>
      <c r="L370" s="1">
        <f t="shared" si="26"/>
        <v>63936</v>
      </c>
      <c r="M370" s="1">
        <f t="shared" si="25"/>
        <v>3196.8</v>
      </c>
      <c r="N370" s="1">
        <f t="shared" si="27"/>
        <v>60739.199999999997</v>
      </c>
      <c r="O370" s="1" t="str">
        <f t="shared" si="28"/>
        <v>January</v>
      </c>
      <c r="P370" s="1">
        <f t="shared" si="29"/>
        <v>2026</v>
      </c>
    </row>
    <row r="371" spans="1:16">
      <c r="A371" s="8">
        <f>COUNTA(Main[Order ID])</f>
        <v>369</v>
      </c>
      <c r="C371" s="1"/>
      <c r="D371" s="1"/>
      <c r="E371" s="1"/>
      <c r="F371" s="1"/>
      <c r="G371" s="8">
        <f>SUBTOTAL(109,Main[Quantity])</f>
        <v>2076</v>
      </c>
      <c r="H371" s="1"/>
      <c r="I371" s="5"/>
      <c r="J371" s="1"/>
      <c r="K371" s="1"/>
      <c r="L371" s="1"/>
      <c r="M371" s="5"/>
      <c r="N371" s="7">
        <f>SUBTOTAL(109,Main[Net Sales])</f>
        <v>10450546.450000003</v>
      </c>
      <c r="O371" s="1"/>
      <c r="P371" s="1"/>
    </row>
    <row r="372" spans="1:16">
      <c r="N372" s="9">
        <f>AVERAGE(Main[Net Sales])</f>
        <v>28321.264092140929</v>
      </c>
    </row>
  </sheetData>
  <conditionalFormatting sqref="A1:K370">
    <cfRule type="containsBlanks" dxfId="34" priority="1">
      <formula>LEN(TRIM(A1))=0</formula>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2"/>
  <sheetViews>
    <sheetView workbookViewId="0">
      <selection activeCell="B10" sqref="B10"/>
    </sheetView>
  </sheetViews>
  <sheetFormatPr defaultRowHeight="14.25"/>
  <cols>
    <col min="1" max="1" width="11.5" bestFit="1" customWidth="1"/>
    <col min="2" max="2" width="16.5" bestFit="1" customWidth="1"/>
    <col min="3" max="3" width="17.75" bestFit="1" customWidth="1"/>
  </cols>
  <sheetData>
    <row r="3" spans="1:2">
      <c r="A3" s="4" t="s">
        <v>4</v>
      </c>
      <c r="B3" t="s">
        <v>46</v>
      </c>
    </row>
    <row r="4" spans="1:2">
      <c r="A4" t="s">
        <v>32</v>
      </c>
      <c r="B4" s="6">
        <v>305109.69999999995</v>
      </c>
    </row>
    <row r="5" spans="1:2">
      <c r="A5" t="s">
        <v>38</v>
      </c>
      <c r="B5" s="6">
        <v>973310.2</v>
      </c>
    </row>
    <row r="6" spans="1:2">
      <c r="A6" t="s">
        <v>23</v>
      </c>
      <c r="B6" s="6">
        <v>236996.94999999998</v>
      </c>
    </row>
    <row r="7" spans="1:2">
      <c r="A7" t="s">
        <v>34</v>
      </c>
      <c r="B7" s="6">
        <v>2525746.6500000004</v>
      </c>
    </row>
    <row r="8" spans="1:2">
      <c r="A8" t="s">
        <v>44</v>
      </c>
      <c r="B8" s="6">
        <v>1472762.35</v>
      </c>
    </row>
    <row r="9" spans="1:2">
      <c r="A9" t="s">
        <v>18</v>
      </c>
      <c r="B9" s="6">
        <v>110359.29999999997</v>
      </c>
    </row>
    <row r="10" spans="1:2">
      <c r="A10" t="s">
        <v>35</v>
      </c>
      <c r="B10" s="6">
        <v>2341266.0999999996</v>
      </c>
    </row>
    <row r="11" spans="1:2">
      <c r="A11" t="s">
        <v>27</v>
      </c>
      <c r="B11" s="6">
        <v>2484995.1999999993</v>
      </c>
    </row>
    <row r="12" spans="1:2">
      <c r="A12" t="s">
        <v>47</v>
      </c>
      <c r="B12" s="6">
        <v>10450546.449999999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topLeftCell="A2" workbookViewId="0">
      <selection activeCell="B5" sqref="B5"/>
    </sheetView>
  </sheetViews>
  <sheetFormatPr defaultRowHeight="14.25"/>
  <cols>
    <col min="1" max="1" width="11.5" bestFit="1" customWidth="1"/>
    <col min="2" max="2" width="16.5" bestFit="1" customWidth="1"/>
  </cols>
  <sheetData>
    <row r="3" spans="1:2">
      <c r="A3" s="4" t="s">
        <v>3</v>
      </c>
      <c r="B3" t="s">
        <v>46</v>
      </c>
    </row>
    <row r="4" spans="1:2">
      <c r="A4" t="s">
        <v>31</v>
      </c>
      <c r="B4" s="6">
        <v>3473345.2999999993</v>
      </c>
    </row>
    <row r="5" spans="1:2">
      <c r="A5" t="s">
        <v>17</v>
      </c>
      <c r="B5" s="6">
        <v>3583224.8</v>
      </c>
    </row>
    <row r="6" spans="1:2">
      <c r="A6" t="s">
        <v>37</v>
      </c>
      <c r="B6" s="6">
        <v>1772686.3</v>
      </c>
    </row>
    <row r="7" spans="1:2">
      <c r="A7" t="s">
        <v>41</v>
      </c>
      <c r="B7" s="6">
        <v>1621290.0500000003</v>
      </c>
    </row>
    <row r="8" spans="1:2">
      <c r="A8" t="s">
        <v>47</v>
      </c>
      <c r="B8" s="6">
        <v>10450546.450000001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B7"/>
  <sheetViews>
    <sheetView workbookViewId="0">
      <selection activeCell="A8" sqref="A8"/>
    </sheetView>
  </sheetViews>
  <sheetFormatPr defaultRowHeight="14.25"/>
  <cols>
    <col min="1" max="1" width="18.875" bestFit="1" customWidth="1"/>
    <col min="2" max="2" width="16.5" bestFit="1" customWidth="1"/>
  </cols>
  <sheetData>
    <row r="4" spans="1:2">
      <c r="A4" s="4" t="s">
        <v>9</v>
      </c>
      <c r="B4" t="s">
        <v>46</v>
      </c>
    </row>
    <row r="5" spans="1:2">
      <c r="A5" t="s">
        <v>24</v>
      </c>
      <c r="B5" s="6">
        <v>5108195.1000000015</v>
      </c>
    </row>
    <row r="6" spans="1:2">
      <c r="A6" t="s">
        <v>20</v>
      </c>
      <c r="B6" s="6">
        <v>5342351.3499999987</v>
      </c>
    </row>
    <row r="7" spans="1:2">
      <c r="A7" t="s">
        <v>47</v>
      </c>
      <c r="B7" s="6">
        <v>10450546.449999999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B7"/>
  <sheetViews>
    <sheetView workbookViewId="0">
      <selection activeCell="B5" sqref="B5"/>
    </sheetView>
  </sheetViews>
  <sheetFormatPr defaultRowHeight="14.25"/>
  <cols>
    <col min="1" max="1" width="11.875" bestFit="1" customWidth="1"/>
    <col min="2" max="2" width="16.5" bestFit="1" customWidth="1"/>
  </cols>
  <sheetData>
    <row r="4" spans="1:2">
      <c r="A4" s="4" t="s">
        <v>5</v>
      </c>
      <c r="B4" t="s">
        <v>46</v>
      </c>
    </row>
    <row r="5" spans="1:2">
      <c r="A5" t="s">
        <v>19</v>
      </c>
      <c r="B5" s="6">
        <v>6687131.3500000006</v>
      </c>
    </row>
    <row r="6" spans="1:2">
      <c r="A6" t="s">
        <v>28</v>
      </c>
      <c r="B6" s="6">
        <v>3763415.0999999996</v>
      </c>
    </row>
    <row r="7" spans="1:2">
      <c r="A7" t="s">
        <v>47</v>
      </c>
      <c r="B7" s="6">
        <v>10450546.449999999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B8"/>
  <sheetViews>
    <sheetView workbookViewId="0">
      <selection activeCell="A5" sqref="A5"/>
    </sheetView>
  </sheetViews>
  <sheetFormatPr defaultRowHeight="14.25"/>
  <cols>
    <col min="1" max="1" width="14.875" bestFit="1" customWidth="1"/>
    <col min="2" max="2" width="16.5" bestFit="1" customWidth="1"/>
  </cols>
  <sheetData>
    <row r="4" spans="1:2">
      <c r="A4" s="4" t="s">
        <v>10</v>
      </c>
      <c r="B4" t="s">
        <v>46</v>
      </c>
    </row>
    <row r="5" spans="1:2">
      <c r="A5" t="s">
        <v>29</v>
      </c>
      <c r="B5" s="6">
        <v>3666801.2</v>
      </c>
    </row>
    <row r="6" spans="1:2">
      <c r="A6" t="s">
        <v>21</v>
      </c>
      <c r="B6" s="6">
        <v>3071148.8999999994</v>
      </c>
    </row>
    <row r="7" spans="1:2">
      <c r="A7" t="s">
        <v>25</v>
      </c>
      <c r="B7" s="6">
        <v>3712596.3500000006</v>
      </c>
    </row>
    <row r="8" spans="1:2">
      <c r="A8" t="s">
        <v>47</v>
      </c>
      <c r="B8" s="6">
        <v>10450546.449999999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B9"/>
  <sheetViews>
    <sheetView workbookViewId="0">
      <selection activeCell="F21" sqref="F21"/>
    </sheetView>
  </sheetViews>
  <sheetFormatPr defaultRowHeight="14.25"/>
  <cols>
    <col min="1" max="1" width="15" bestFit="1" customWidth="1"/>
    <col min="2" max="2" width="16.5" bestFit="1" customWidth="1"/>
  </cols>
  <sheetData>
    <row r="4" spans="1:2">
      <c r="A4" s="4" t="s">
        <v>14</v>
      </c>
      <c r="B4" t="s">
        <v>46</v>
      </c>
    </row>
    <row r="5" spans="1:2">
      <c r="A5" t="s">
        <v>48</v>
      </c>
      <c r="B5" s="3">
        <v>3595995.5999999992</v>
      </c>
    </row>
    <row r="6" spans="1:2">
      <c r="A6" t="s">
        <v>49</v>
      </c>
      <c r="B6" s="3">
        <v>2804513.65</v>
      </c>
    </row>
    <row r="7" spans="1:2">
      <c r="A7" t="s">
        <v>50</v>
      </c>
      <c r="B7" s="3">
        <v>3859520.1999999997</v>
      </c>
    </row>
    <row r="8" spans="1:2">
      <c r="A8" t="s">
        <v>51</v>
      </c>
      <c r="B8" s="3">
        <v>190517</v>
      </c>
    </row>
    <row r="9" spans="1:2">
      <c r="A9" t="s">
        <v>47</v>
      </c>
      <c r="B9" s="3">
        <v>10450546.449999999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4:B13"/>
  <sheetViews>
    <sheetView workbookViewId="0">
      <selection activeCell="B5" sqref="B5"/>
    </sheetView>
  </sheetViews>
  <sheetFormatPr defaultRowHeight="14.25"/>
  <cols>
    <col min="1" max="1" width="11.5" bestFit="1" customWidth="1"/>
    <col min="2" max="2" width="15.625" bestFit="1" customWidth="1"/>
  </cols>
  <sheetData>
    <row r="4" spans="1:2">
      <c r="A4" s="4" t="s">
        <v>4</v>
      </c>
      <c r="B4" t="s">
        <v>52</v>
      </c>
    </row>
    <row r="5" spans="1:2">
      <c r="A5" t="s">
        <v>32</v>
      </c>
      <c r="B5" s="3">
        <v>286</v>
      </c>
    </row>
    <row r="6" spans="1:2">
      <c r="A6" t="s">
        <v>38</v>
      </c>
      <c r="B6" s="3">
        <v>300</v>
      </c>
    </row>
    <row r="7" spans="1:2">
      <c r="A7" t="s">
        <v>23</v>
      </c>
      <c r="B7" s="3">
        <v>283</v>
      </c>
    </row>
    <row r="8" spans="1:2">
      <c r="A8" t="s">
        <v>34</v>
      </c>
      <c r="B8" s="3">
        <v>185</v>
      </c>
    </row>
    <row r="9" spans="1:2">
      <c r="A9" t="s">
        <v>44</v>
      </c>
      <c r="B9" s="3">
        <v>228</v>
      </c>
    </row>
    <row r="10" spans="1:2">
      <c r="A10" t="s">
        <v>18</v>
      </c>
      <c r="B10" s="3">
        <v>238</v>
      </c>
    </row>
    <row r="11" spans="1:2">
      <c r="A11" t="s">
        <v>35</v>
      </c>
      <c r="B11" s="3">
        <v>287</v>
      </c>
    </row>
    <row r="12" spans="1:2">
      <c r="A12" t="s">
        <v>27</v>
      </c>
      <c r="B12" s="3">
        <v>269</v>
      </c>
    </row>
    <row r="13" spans="1:2">
      <c r="A13" t="s">
        <v>47</v>
      </c>
      <c r="B13" s="3">
        <v>2076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499984740745262"/>
    <pageSetUpPr autoPageBreaks="0"/>
  </sheetPr>
  <dimension ref="G7:AN36"/>
  <sheetViews>
    <sheetView showGridLines="0" tabSelected="1" topLeftCell="V3" zoomScale="30" zoomScaleNormal="30" workbookViewId="0">
      <selection activeCell="AA46" sqref="AA46"/>
    </sheetView>
  </sheetViews>
  <sheetFormatPr defaultRowHeight="14.25"/>
  <cols>
    <col min="4" max="6" width="9" customWidth="1"/>
    <col min="9" max="9" width="0.625" customWidth="1"/>
  </cols>
  <sheetData>
    <row r="7" spans="7:15">
      <c r="G7" s="1"/>
      <c r="H7" s="1"/>
      <c r="I7" s="1"/>
    </row>
    <row r="8" spans="7:15">
      <c r="G8" s="1"/>
      <c r="H8" s="1"/>
      <c r="I8" s="1"/>
    </row>
    <row r="9" spans="7:15">
      <c r="G9" s="1"/>
      <c r="H9" s="1"/>
      <c r="I9" s="1"/>
    </row>
    <row r="13" spans="7:15" ht="15" customHeight="1"/>
    <row r="14" spans="7:15" ht="39" customHeight="1">
      <c r="J14" s="16" t="s">
        <v>53</v>
      </c>
      <c r="K14" s="17"/>
      <c r="L14" s="17"/>
      <c r="M14" s="17"/>
      <c r="N14" s="17"/>
      <c r="O14" s="18"/>
    </row>
    <row r="15" spans="7:15">
      <c r="G15" s="15"/>
      <c r="H15" s="15"/>
      <c r="I15" s="15"/>
      <c r="J15" s="15"/>
      <c r="K15" s="15"/>
    </row>
    <row r="16" spans="7:15">
      <c r="G16" s="15"/>
      <c r="H16" s="15"/>
      <c r="I16" s="15"/>
      <c r="J16" s="15"/>
      <c r="K16" s="15"/>
    </row>
    <row r="31" spans="28:40">
      <c r="AB31" s="10"/>
      <c r="AC31" s="10"/>
      <c r="AD31" s="10"/>
      <c r="AE31" s="10"/>
      <c r="AF31" s="10"/>
      <c r="AG31" s="10"/>
      <c r="AH31" s="10"/>
      <c r="AI31" s="10"/>
      <c r="AJ31" s="10"/>
      <c r="AK31" s="10"/>
      <c r="AL31" s="10"/>
      <c r="AM31" s="10"/>
      <c r="AN31" s="10"/>
    </row>
    <row r="32" spans="28:40">
      <c r="AB32" s="10"/>
      <c r="AC32" s="10"/>
      <c r="AD32" s="10"/>
      <c r="AE32" s="10"/>
      <c r="AF32" s="10"/>
      <c r="AG32" s="10"/>
      <c r="AH32" s="10"/>
      <c r="AI32" s="10"/>
      <c r="AJ32" s="10"/>
      <c r="AK32" s="10"/>
      <c r="AL32" s="10"/>
      <c r="AM32" s="10"/>
      <c r="AN32" s="10"/>
    </row>
    <row r="33" spans="28:40">
      <c r="AB33" s="10"/>
      <c r="AC33" s="10"/>
      <c r="AD33" s="10"/>
      <c r="AE33" s="10"/>
      <c r="AF33" s="10"/>
      <c r="AG33" s="10"/>
      <c r="AH33" s="10"/>
      <c r="AI33" s="10"/>
      <c r="AJ33" s="10"/>
      <c r="AK33" s="10"/>
      <c r="AL33" s="10"/>
      <c r="AM33" s="10"/>
      <c r="AN33" s="10"/>
    </row>
    <row r="34" spans="28:40">
      <c r="AB34" s="10"/>
      <c r="AC34" s="10"/>
      <c r="AD34" s="10"/>
      <c r="AE34" s="10"/>
      <c r="AF34" s="10"/>
      <c r="AG34" s="10"/>
      <c r="AH34" s="10"/>
      <c r="AI34" s="10"/>
      <c r="AJ34" s="10"/>
      <c r="AK34" s="10"/>
      <c r="AL34" s="10"/>
      <c r="AM34" s="10"/>
      <c r="AN34" s="10"/>
    </row>
    <row r="35" spans="28:40">
      <c r="AB35" s="10"/>
      <c r="AC35" s="10"/>
      <c r="AD35" s="10"/>
      <c r="AE35" s="10"/>
      <c r="AF35" s="10"/>
      <c r="AG35" s="10"/>
      <c r="AH35" s="10"/>
      <c r="AI35" s="10"/>
      <c r="AJ35" s="10"/>
      <c r="AK35" s="10"/>
      <c r="AL35" s="10"/>
      <c r="AM35" s="10"/>
      <c r="AN35" s="10"/>
    </row>
    <row r="36" spans="28:40">
      <c r="AB36" s="10"/>
      <c r="AC36" s="10"/>
      <c r="AD36" s="10"/>
      <c r="AE36" s="10"/>
      <c r="AF36" s="10"/>
      <c r="AG36" s="10"/>
      <c r="AH36" s="10"/>
      <c r="AI36" s="10"/>
      <c r="AJ36" s="10"/>
      <c r="AK36" s="10"/>
      <c r="AL36" s="10"/>
      <c r="AM36" s="10"/>
      <c r="AN36" s="10"/>
    </row>
  </sheetData>
  <mergeCells count="1">
    <mergeCell ref="J14:O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shahd reda</cp:lastModifiedBy>
  <cp:revision/>
  <dcterms:created xsi:type="dcterms:W3CDTF">2026-07-26T16:45:53Z</dcterms:created>
  <dcterms:modified xsi:type="dcterms:W3CDTF">2026-07-29T23:41:01Z</dcterms:modified>
  <cp:category/>
  <cp:contentStatus/>
</cp:coreProperties>
</file>